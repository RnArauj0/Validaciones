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enzo Araujo\PycharmProjects\GestorDeValidaciones\ejemplos\"/>
    </mc:Choice>
  </mc:AlternateContent>
  <xr:revisionPtr revIDLastSave="0" documentId="13_ncr:1_{EB486AF5-17AA-4B84-94AC-AABD859D0D85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Td_Diferencias" sheetId="4" r:id="rId1"/>
    <sheet name="Reporte" sheetId="2" r:id="rId2"/>
    <sheet name="pivot" sheetId="3" r:id="rId3"/>
  </sheets>
  <externalReferences>
    <externalReference r:id="rId4"/>
    <externalReference r:id="rId5"/>
  </externalReferences>
  <definedNames>
    <definedName name="_xlnm._FilterDatabase" localSheetId="2" hidden="1">pivot!$A$1:$B$34</definedName>
    <definedName name="_xlnm._FilterDatabase" localSheetId="1" hidden="1">Reporte!$A$2:$N$418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3" i="2"/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3" i="2"/>
  <c r="M4" i="2" l="1"/>
  <c r="M6" i="2"/>
  <c r="M7" i="2"/>
  <c r="M8" i="2"/>
  <c r="M10" i="2"/>
  <c r="M11" i="2"/>
  <c r="M15" i="2"/>
  <c r="M16" i="2"/>
  <c r="M19" i="2"/>
  <c r="M21" i="2"/>
  <c r="M22" i="2"/>
  <c r="M23" i="2"/>
  <c r="M24" i="2"/>
  <c r="M25" i="2"/>
  <c r="M26" i="2"/>
  <c r="M27" i="2"/>
  <c r="M28" i="2"/>
  <c r="M30" i="2"/>
  <c r="M33" i="2"/>
  <c r="M35" i="2"/>
  <c r="M36" i="2"/>
  <c r="M37" i="2"/>
  <c r="M41" i="2"/>
  <c r="M42" i="2"/>
  <c r="M43" i="2"/>
  <c r="M44" i="2"/>
  <c r="M45" i="2"/>
  <c r="M46" i="2"/>
  <c r="M47" i="2"/>
  <c r="M48" i="2"/>
  <c r="M49" i="2"/>
  <c r="M51" i="2"/>
  <c r="M53" i="2"/>
  <c r="M54" i="2"/>
  <c r="M55" i="2"/>
  <c r="M56" i="2"/>
  <c r="M57" i="2"/>
  <c r="M59" i="2"/>
  <c r="M31" i="2"/>
  <c r="M61" i="2"/>
  <c r="M62" i="2"/>
  <c r="M64" i="2"/>
  <c r="M65" i="2"/>
  <c r="M32" i="2"/>
  <c r="M67" i="2"/>
  <c r="M68" i="2"/>
  <c r="M69" i="2"/>
  <c r="M70" i="2"/>
  <c r="M71" i="2"/>
  <c r="M73" i="2"/>
  <c r="M74" i="2"/>
  <c r="M75" i="2"/>
  <c r="M76" i="2"/>
  <c r="M77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60" i="2"/>
  <c r="M103" i="2"/>
  <c r="M104" i="2"/>
  <c r="M105" i="2"/>
  <c r="M106" i="2"/>
  <c r="M107" i="2"/>
  <c r="M108" i="2"/>
  <c r="M66" i="2"/>
  <c r="M109" i="2"/>
  <c r="M110" i="2"/>
  <c r="M111" i="2"/>
  <c r="M112" i="2"/>
  <c r="M114" i="2"/>
  <c r="M115" i="2"/>
  <c r="M116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3" i="2"/>
  <c r="F24" i="2"/>
  <c r="F23" i="2"/>
  <c r="F22" i="2"/>
  <c r="M34" i="2"/>
  <c r="M38" i="2"/>
  <c r="M39" i="2"/>
  <c r="M40" i="2"/>
  <c r="M52" i="2"/>
  <c r="M58" i="2"/>
  <c r="M29" i="2"/>
  <c r="M9" i="2"/>
  <c r="M78" i="2"/>
  <c r="M113" i="2"/>
  <c r="M117" i="2"/>
  <c r="M12" i="2"/>
  <c r="M161" i="2"/>
  <c r="M185" i="2"/>
  <c r="M221" i="2"/>
  <c r="M17" i="2"/>
  <c r="M260" i="2"/>
  <c r="M13" i="2"/>
  <c r="M5" i="2"/>
  <c r="M14" i="2"/>
  <c r="M18" i="2"/>
  <c r="M20" i="2"/>
  <c r="F46" i="2"/>
  <c r="F43" i="2"/>
  <c r="F29" i="2"/>
  <c r="F42" i="2"/>
  <c r="F59" i="2"/>
  <c r="F41" i="2"/>
  <c r="F58" i="2"/>
  <c r="F53" i="2"/>
  <c r="F409" i="2"/>
  <c r="F20" i="2"/>
  <c r="F407" i="2"/>
  <c r="F406" i="2"/>
  <c r="F40" i="2"/>
  <c r="F405" i="2"/>
  <c r="F404" i="2"/>
  <c r="F19" i="2"/>
  <c r="F65" i="2"/>
  <c r="F402" i="2"/>
  <c r="F18" i="2"/>
  <c r="F52" i="2"/>
  <c r="F39" i="2"/>
  <c r="F26" i="2"/>
  <c r="F64" i="2"/>
  <c r="F27" i="2"/>
  <c r="F7" i="2"/>
  <c r="F399" i="2"/>
  <c r="F398" i="2"/>
  <c r="F15" i="2"/>
  <c r="F396" i="2"/>
  <c r="F395" i="2"/>
  <c r="F394" i="2"/>
  <c r="F393" i="2"/>
  <c r="F392" i="2"/>
  <c r="F14" i="2"/>
  <c r="F390" i="2"/>
  <c r="F6" i="2"/>
  <c r="F5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51" i="2"/>
  <c r="F63" i="2"/>
  <c r="F374" i="2"/>
  <c r="F373" i="2"/>
  <c r="F4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50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28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160" i="2"/>
  <c r="F313" i="2"/>
  <c r="F38" i="2"/>
  <c r="F155" i="2"/>
  <c r="F150" i="2"/>
  <c r="F311" i="2"/>
  <c r="F13" i="2"/>
  <c r="F309" i="2"/>
  <c r="F308" i="2"/>
  <c r="F62" i="2"/>
  <c r="F307" i="2"/>
  <c r="F45" i="2"/>
  <c r="F61" i="2"/>
  <c r="F306" i="2"/>
  <c r="F305" i="2"/>
  <c r="F304" i="2"/>
  <c r="F303" i="2"/>
  <c r="F302" i="2"/>
  <c r="F301" i="2"/>
  <c r="F300" i="2"/>
  <c r="F299" i="2"/>
  <c r="F25" i="2"/>
  <c r="F298" i="2"/>
  <c r="F297" i="2"/>
  <c r="F296" i="2"/>
  <c r="F295" i="2"/>
  <c r="F294" i="2"/>
  <c r="F293" i="2"/>
  <c r="F292" i="2"/>
  <c r="F291" i="2"/>
  <c r="F290" i="2"/>
  <c r="F289" i="2"/>
  <c r="F288" i="2"/>
  <c r="F37" i="2"/>
  <c r="F413" i="2"/>
  <c r="F412" i="2"/>
  <c r="F411" i="2"/>
  <c r="F36" i="2"/>
  <c r="F21" i="2"/>
  <c r="F400" i="2"/>
  <c r="F375" i="2"/>
  <c r="F57" i="2"/>
  <c r="F56" i="2"/>
  <c r="F285" i="2"/>
  <c r="F55" i="2"/>
  <c r="F284" i="2"/>
  <c r="F35" i="2"/>
  <c r="F283" i="2"/>
  <c r="F54" i="2"/>
  <c r="F282" i="2"/>
  <c r="F281" i="2"/>
  <c r="F280" i="2"/>
  <c r="F279" i="2"/>
  <c r="F278" i="2"/>
  <c r="F277" i="2"/>
  <c r="F276" i="2"/>
  <c r="F275" i="2"/>
  <c r="F274" i="2"/>
  <c r="F66" i="2"/>
  <c r="F273" i="2"/>
  <c r="F60" i="2"/>
  <c r="F32" i="2"/>
  <c r="F3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418" i="2"/>
  <c r="F417" i="2"/>
  <c r="F415" i="2"/>
  <c r="F410" i="2"/>
  <c r="F408" i="2"/>
  <c r="F403" i="2"/>
  <c r="F401" i="2"/>
  <c r="F17" i="2"/>
  <c r="F240" i="2"/>
  <c r="F354" i="2"/>
  <c r="F314" i="2"/>
  <c r="F239" i="2"/>
  <c r="F3" i="2"/>
  <c r="F238" i="2"/>
  <c r="F16" i="2"/>
  <c r="F237" i="2"/>
  <c r="F236" i="2"/>
  <c r="F235" i="2"/>
  <c r="F234" i="2"/>
  <c r="F233" i="2"/>
  <c r="F312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8" i="2"/>
  <c r="F188" i="2"/>
  <c r="F187" i="2"/>
  <c r="F186" i="2"/>
  <c r="F185" i="2"/>
  <c r="F184" i="2"/>
  <c r="F397" i="2"/>
  <c r="F391" i="2"/>
  <c r="F183" i="2"/>
  <c r="F182" i="2"/>
  <c r="F181" i="2"/>
  <c r="F180" i="2"/>
  <c r="F179" i="2"/>
  <c r="F178" i="2"/>
  <c r="F177" i="2"/>
  <c r="F176" i="2"/>
  <c r="F175" i="2"/>
  <c r="F174" i="2"/>
  <c r="F310" i="2"/>
  <c r="F173" i="2"/>
  <c r="F71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70" i="2"/>
  <c r="F159" i="2"/>
  <c r="F158" i="2"/>
  <c r="F157" i="2"/>
  <c r="F156" i="2"/>
  <c r="F69" i="2"/>
  <c r="F49" i="2"/>
  <c r="F48" i="2"/>
  <c r="F154" i="2"/>
  <c r="F153" i="2"/>
  <c r="F152" i="2"/>
  <c r="F151" i="2"/>
  <c r="F287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34" i="2"/>
  <c r="F131" i="2"/>
  <c r="F130" i="2"/>
  <c r="F12" i="2"/>
  <c r="F129" i="2"/>
  <c r="F128" i="2"/>
  <c r="F127" i="2"/>
  <c r="F33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30" i="2"/>
  <c r="F108" i="2"/>
  <c r="F11" i="2"/>
  <c r="F47" i="2"/>
  <c r="F286" i="2"/>
  <c r="F10" i="2"/>
  <c r="F107" i="2"/>
  <c r="F106" i="2"/>
  <c r="F105" i="2"/>
  <c r="F104" i="2"/>
  <c r="F67" i="2"/>
  <c r="F103" i="2"/>
  <c r="F272" i="2"/>
  <c r="F102" i="2"/>
  <c r="F9" i="2"/>
  <c r="F101" i="2"/>
  <c r="F100" i="2"/>
  <c r="F68" i="2"/>
  <c r="F99" i="2"/>
  <c r="F98" i="2"/>
  <c r="F97" i="2"/>
  <c r="F96" i="2"/>
  <c r="F95" i="2"/>
  <c r="F94" i="2"/>
  <c r="F93" i="2"/>
  <c r="F92" i="2"/>
  <c r="F91" i="2"/>
  <c r="F44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271" i="2"/>
  <c r="F77" i="2"/>
  <c r="F76" i="2"/>
  <c r="F75" i="2"/>
  <c r="F74" i="2"/>
  <c r="F73" i="2"/>
  <c r="M50" i="2"/>
  <c r="M63" i="2"/>
  <c r="F72" i="2" l="1"/>
  <c r="M72" i="2" l="1"/>
</calcChain>
</file>

<file path=xl/sharedStrings.xml><?xml version="1.0" encoding="utf-8"?>
<sst xmlns="http://schemas.openxmlformats.org/spreadsheetml/2006/main" count="1442" uniqueCount="533">
  <si>
    <t>RESPONSABLE DE PAGO</t>
  </si>
  <si>
    <t>NRO. POLIZA</t>
  </si>
  <si>
    <t>CATEGORÍA</t>
  </si>
  <si>
    <t>VENCIMIENTO</t>
  </si>
  <si>
    <t>EPS</t>
  </si>
  <si>
    <t>S.C.T.R. - PENSION</t>
  </si>
  <si>
    <t>S.C.T.R. - SALUD</t>
  </si>
  <si>
    <t>WEB VEHICULOS</t>
  </si>
  <si>
    <t>SALUD RED PREFERENTE</t>
  </si>
  <si>
    <t>FULLSALUD</t>
  </si>
  <si>
    <t>VIDA LEY D.L. 688</t>
  </si>
  <si>
    <t>FORMACION LABORAL</t>
  </si>
  <si>
    <t>NEGOCIO SEGURO</t>
  </si>
  <si>
    <t>VIDA LEY 2DA CAPA</t>
  </si>
  <si>
    <t>SALUD RED MÉDICA</t>
  </si>
  <si>
    <t>DOMICILIARIO RIMAC (EX CASASEGURA)</t>
  </si>
  <si>
    <t>ONCO. INTEGRAL INDIVIDUAL BROKERS</t>
  </si>
  <si>
    <t>SALUD DE ORO</t>
  </si>
  <si>
    <t>MULTI RIESGO</t>
  </si>
  <si>
    <t>SALUD PREFERENCIAL</t>
  </si>
  <si>
    <t>SALUD DE ORO F F V V</t>
  </si>
  <si>
    <t>FULL SALUD F F V V</t>
  </si>
  <si>
    <t>CASCOS</t>
  </si>
  <si>
    <t>RESPONSABILIDAD CIVIL</t>
  </si>
  <si>
    <t>3D</t>
  </si>
  <si>
    <t>SICS</t>
  </si>
  <si>
    <t>Tablero</t>
  </si>
  <si>
    <t>Observaciones</t>
  </si>
  <si>
    <t>Responsable</t>
  </si>
  <si>
    <t>Briyan</t>
  </si>
  <si>
    <t>Cesar</t>
  </si>
  <si>
    <t>Thalia</t>
  </si>
  <si>
    <t>6. Revisar renovación</t>
  </si>
  <si>
    <t>Jesus</t>
  </si>
  <si>
    <t>2. Actualizar la vigencia en el SICS</t>
  </si>
  <si>
    <t>Total general</t>
  </si>
  <si>
    <t xml:space="preserve"> </t>
  </si>
  <si>
    <t>ONCOLÓGICO RIMAC</t>
  </si>
  <si>
    <t>SALUD FLEXIBLE</t>
  </si>
  <si>
    <t>1. No está cargado en el SICS-Tablero</t>
  </si>
  <si>
    <t>SALUD RED MEDICA F F V V</t>
  </si>
  <si>
    <t>AVIACION</t>
  </si>
  <si>
    <t>SALUD RED PREFERENTE F F V V</t>
  </si>
  <si>
    <t>&lt;=</t>
  </si>
  <si>
    <t>VCTO</t>
  </si>
  <si>
    <t>&gt;</t>
  </si>
  <si>
    <t>POLIZANUEVA</t>
  </si>
  <si>
    <t>OBSERVACIONES</t>
  </si>
  <si>
    <t>Obs</t>
  </si>
  <si>
    <t>SALUD RED MEDICA HOSPITALARIA</t>
  </si>
  <si>
    <t>ACCIDENTES SEGURO VIDA B</t>
  </si>
  <si>
    <t>SOAT</t>
  </si>
  <si>
    <t>MOTIVO</t>
  </si>
  <si>
    <t>ASEGURADORA  RENOVADA</t>
  </si>
  <si>
    <t>VIDALEYRE</t>
  </si>
  <si>
    <t>VIDA GRUPO</t>
  </si>
  <si>
    <t>CLUB SPORTING CRISTAL S.A.</t>
  </si>
  <si>
    <t>E0002259</t>
  </si>
  <si>
    <t>CAMPARI PERU SOCIEDAD ANONIMA CERRADA - CAMPARI PERU S.A.C.</t>
  </si>
  <si>
    <t>E0029631</t>
  </si>
  <si>
    <t>CIMER INGENIEROS SAC</t>
  </si>
  <si>
    <t>S0350529</t>
  </si>
  <si>
    <t>DIGITAL BUSINESS PERU S.A.C.</t>
  </si>
  <si>
    <t>E0004449</t>
  </si>
  <si>
    <t>BELTRAN BYRNE GUILLERMO</t>
  </si>
  <si>
    <t>E0027232</t>
  </si>
  <si>
    <t>CONTRERAS IVARCENA EDUARDO DIEGO</t>
  </si>
  <si>
    <t>ARBULU SECLEN EDUARDO ALFREDO</t>
  </si>
  <si>
    <t>GONZALES SALAZAR JUAN MANUEL</t>
  </si>
  <si>
    <t>MATICORENA CARRILLO RICARDO LUIS</t>
  </si>
  <si>
    <t>BRAVO GARCIA BELEN SARAI</t>
  </si>
  <si>
    <t>FLORES CALDERON VALERIA IVETTE</t>
  </si>
  <si>
    <t>TEGA INDUSTRIES PERU S.A.C.</t>
  </si>
  <si>
    <t>GESTION A1 S.A.C. - GA1 S.A.C.</t>
  </si>
  <si>
    <t>E0033183</t>
  </si>
  <si>
    <t>PAT. EN FID. D.LEG.861-SUMAQ NO INS. EN LA SMV DIR. A INV. INST.</t>
  </si>
  <si>
    <t>E0031107</t>
  </si>
  <si>
    <t>VALEI PRODUCCIONES E.I.R.L</t>
  </si>
  <si>
    <t>SEMINARIO Y CIA S.A.B. S. A.</t>
  </si>
  <si>
    <t>URRUTIA NUÑEZ PAOLA PILAR</t>
  </si>
  <si>
    <t>MONTES RAMOS MARLITH ZENAIDA</t>
  </si>
  <si>
    <t>MENDOZA TRUJILLO LINDER</t>
  </si>
  <si>
    <t>ESPINOZA CANAL PABLO SANTIAGO</t>
  </si>
  <si>
    <t>BENDEZU MESCUA MELISSA</t>
  </si>
  <si>
    <t>TRAVERSO ZEGARRA CAMILO FERNANDO</t>
  </si>
  <si>
    <t>INMOBILIARIA EGP S.A.C.</t>
  </si>
  <si>
    <t>LABORATORIO FARMACEUTICO SAN JOAQUIN-ROXFARMA SOCIEDAD ANONIMA</t>
  </si>
  <si>
    <t>ACCURATE MANAGEMENT S.A.C</t>
  </si>
  <si>
    <t>ACRES SOCIEDAD ADMINISTRADORA DE FONDOS DE INVERSION S.A. - ACRES SAFI S.A.</t>
  </si>
  <si>
    <t>E0028123</t>
  </si>
  <si>
    <t>ACRES SOCIEDAD AGENTE DE BOLSA S.A.</t>
  </si>
  <si>
    <t>E0022240</t>
  </si>
  <si>
    <t>ACRES FINANCE S.A.</t>
  </si>
  <si>
    <t>E0004928</t>
  </si>
  <si>
    <t>ACRES SOCIEDAD TITULIZADORA S.A.</t>
  </si>
  <si>
    <t>E0020911</t>
  </si>
  <si>
    <t>COMPUPALACE PERU S.A.</t>
  </si>
  <si>
    <t>E0003770</t>
  </si>
  <si>
    <t>INSTITUTO DE HORTICULTURA TERAPEUTICA S.A.C.</t>
  </si>
  <si>
    <t>E0037543</t>
  </si>
  <si>
    <t>E0020619</t>
  </si>
  <si>
    <t>MENDEZ GRIMALDI BRUNELLA CRISTINA</t>
  </si>
  <si>
    <t>CALDERON CHIRINOS SANDRA IVETTE</t>
  </si>
  <si>
    <t>MONTERO GRAÑA MARIA LUZ</t>
  </si>
  <si>
    <t>BERENDSON DE MOREL MARIA ELENA</t>
  </si>
  <si>
    <t>EGUREN ELGUERA FRANCISCO</t>
  </si>
  <si>
    <t>UREÑA YEPEZ JENNY MARIA</t>
  </si>
  <si>
    <t>OLCESE FERNANDEZ CESAR ARTURO</t>
  </si>
  <si>
    <t>CUADROS ANTUNEZ DE MAYOLO VICTOR CIRO JOSE</t>
  </si>
  <si>
    <t>GREEN BARRUETA MAGALY</t>
  </si>
  <si>
    <t>PORTILLA LESCANO FERNANDO LUIS</t>
  </si>
  <si>
    <t>ESPINOSA SEMINARIO CLAUDIA MARIA</t>
  </si>
  <si>
    <t>YANAY FUJIHARA PAOLA</t>
  </si>
  <si>
    <t>BECK ESCALANTE VALERIA</t>
  </si>
  <si>
    <t>SALOMON POMAR JORGE GUILLERMO</t>
  </si>
  <si>
    <t>XIAOMI TECHNOLOGIES PERU S.A.C.</t>
  </si>
  <si>
    <t>LOPEZ VALVERDE WILDO GILBERTO</t>
  </si>
  <si>
    <t>BASSO GUARDIA GUSTAVO MARCELO</t>
  </si>
  <si>
    <t>FLORES HUIMAN KARINA LUZ</t>
  </si>
  <si>
    <t>GRAÑA SARMIENTO RAFAEL EDUARDO</t>
  </si>
  <si>
    <t>LOZADA PAZ GLADIS</t>
  </si>
  <si>
    <t>SOTO RODRIGUEZ GLADYS JUANA</t>
  </si>
  <si>
    <t>CELI MORALES DANIEL ALEXIS</t>
  </si>
  <si>
    <t>ESPINOSA SAYAN MARIA DEL ROSARIO</t>
  </si>
  <si>
    <t>MOTTA MOGROVEJO VDA DE HINOJOSA PETRONILA YOLANDA</t>
  </si>
  <si>
    <t>GARNIQUE SANCHEZ DANNY IVAN</t>
  </si>
  <si>
    <t>VALVERDE VALVERDE ALEXANDER GUILLERMO</t>
  </si>
  <si>
    <t>FIMA S A</t>
  </si>
  <si>
    <t>ANGELES PASCO ENZO ANDRE</t>
  </si>
  <si>
    <t>E0034069</t>
  </si>
  <si>
    <t>CUMPA EXEBIO JORGE DANIEL</t>
  </si>
  <si>
    <t>E0026804</t>
  </si>
  <si>
    <t>VARAS RUIZ LUCIA MIREILLE</t>
  </si>
  <si>
    <t>E0035204</t>
  </si>
  <si>
    <t>PROYECTA INGENIEROS CIVILES S.A.C.</t>
  </si>
  <si>
    <t>GALVEZ CASANOVA JOSE ANTONIO</t>
  </si>
  <si>
    <t>JORLE S.A.C.</t>
  </si>
  <si>
    <t>ALCANTARA QUISPE TERESA DEL PILAR</t>
  </si>
  <si>
    <t>COOK VIZURRAGA KETTY AURORA</t>
  </si>
  <si>
    <t>YEP CHANG LILIANA DORA</t>
  </si>
  <si>
    <t>FLORES TABOADA DE ROJAS FIORELLA GIOVANNA</t>
  </si>
  <si>
    <t>LEON LEIVA CLARA LUZ</t>
  </si>
  <si>
    <t>LA CRUZ VICENTE DENISSE MILAGROS</t>
  </si>
  <si>
    <t>GUERRERO RIVERA MARTHA GABRIELA</t>
  </si>
  <si>
    <t>MANCO FERNANDEZ RENZO JESUS</t>
  </si>
  <si>
    <t>SACO ORTEGA MERCEDES DEL PILAR</t>
  </si>
  <si>
    <t>RIDOUTT AGNOLI ALEXANDRE ROBERT</t>
  </si>
  <si>
    <t>KONSULTYX E.I.R.L.</t>
  </si>
  <si>
    <t>MACARA-CHVILI MAZZINI MICHEL</t>
  </si>
  <si>
    <t>MARTINEZ ATENCIO JOSE MARIANO ELEAZAR</t>
  </si>
  <si>
    <t>ROMERO TOLEDO VICTOR GIUSSEPPE</t>
  </si>
  <si>
    <t>BRIGNETI BADIOLA ROCIO MARIA DE FATIMA</t>
  </si>
  <si>
    <t>GONZALES VARGAS HANS MICHAEL</t>
  </si>
  <si>
    <t>HARTEN WOODMAN EDUARDO</t>
  </si>
  <si>
    <t>ASAAD GUERRA BALKYS LEONOR</t>
  </si>
  <si>
    <t>GUZMAN MALAGA DANIEL</t>
  </si>
  <si>
    <t>FLORES CELI IRIS ALICIA</t>
  </si>
  <si>
    <t>BORJA MEJIA EDWARD</t>
  </si>
  <si>
    <t>CALCIOS ORGANICOS DEL PERU S.A.C.</t>
  </si>
  <si>
    <t>CASTRO SANTILLAN MANUEL AUGUSTO</t>
  </si>
  <si>
    <t>SEGURA GONZALES JAIME CARLOS</t>
  </si>
  <si>
    <t>CASTRO QUIROS ALONSO JAVIER</t>
  </si>
  <si>
    <t>ZAPATA PETROV SUSANA REGINA</t>
  </si>
  <si>
    <t>VERA BUSCH CRISTIAN ANGEL</t>
  </si>
  <si>
    <t>PROYECTOS PRODUCTOS SOLUCIONES SOCIEDAD ANÓNIMA CERRADA</t>
  </si>
  <si>
    <t>P0283307</t>
  </si>
  <si>
    <t>S0344240</t>
  </si>
  <si>
    <t>LOJA CURAY NATALIA VALERIA</t>
  </si>
  <si>
    <t>CALDERON LOPEZ MIGUEL ANTONIO</t>
  </si>
  <si>
    <t>MEJIA SIFUENTES CARLOS ALFREDO</t>
  </si>
  <si>
    <t>LOPEZ CORDOVA LUIS ALFREDO</t>
  </si>
  <si>
    <t>CASTILLO VERA VIVIANA SOFIA</t>
  </si>
  <si>
    <t>FREIRE GANOZA ANA MARIELLA FELICIA</t>
  </si>
  <si>
    <t>JORDAN CORDOVA JULIO CESAR</t>
  </si>
  <si>
    <t>FARFAN ZAPATA JULIO CESAR</t>
  </si>
  <si>
    <t>ELIAS DE GULMAN CECILIA HORTENSIA</t>
  </si>
  <si>
    <t>LEON TIMANA JORGE ELIAS</t>
  </si>
  <si>
    <t>BENAVIDES LOZANO DIEGO</t>
  </si>
  <si>
    <t>DELGADO CUADROS MARIELA ELVIRA</t>
  </si>
  <si>
    <t>MORALES PUCH ANDREA</t>
  </si>
  <si>
    <t>RODRIGO GRAÑA ISMAEL</t>
  </si>
  <si>
    <t>RUIZ SALAZAR JOSE BRUCE STEVEN</t>
  </si>
  <si>
    <t>ALVA DIAZ ROBERTO ALEXANDER</t>
  </si>
  <si>
    <t>HUAMANCAJA LARA ENRIQUE</t>
  </si>
  <si>
    <t>DELGADO LUQUE RENZO AUGUSTO</t>
  </si>
  <si>
    <t>PETROZZI HAIDL ENRICO FRANCESCO FEDERICO</t>
  </si>
  <si>
    <t>MIGUEL BRUM DE DEUS LUAN SAVIO</t>
  </si>
  <si>
    <t>DIGITAL VENTURES S.A.C.</t>
  </si>
  <si>
    <t>GALLUCCIO GALLARDO THERESA</t>
  </si>
  <si>
    <t>ESTCOLD PERUANA S.A.C</t>
  </si>
  <si>
    <t>ARRIETA OCAMPO JUAN JOSE DEL CARMEN</t>
  </si>
  <si>
    <t>LANATA ZELADA ENRIQUE FRANCISCO</t>
  </si>
  <si>
    <t>DURAN QUEROL RODOLFO MARTIN</t>
  </si>
  <si>
    <t>DONAYRE REVILLA BEATRIZ CONSUELO</t>
  </si>
  <si>
    <t>LOPEZ HURTADO RAMIREZ CARMEN MILAGROS</t>
  </si>
  <si>
    <t>SALGUERO LIMACHI CARLOS ALBERTO</t>
  </si>
  <si>
    <t>MANDUJANO SALAS YAMPIERR PAOLO</t>
  </si>
  <si>
    <t>JOAQUIN VILLANUEVA PEDRO ALBERTO</t>
  </si>
  <si>
    <t>CORSO HUACO CLAUDIO</t>
  </si>
  <si>
    <t>LLOSA &amp; R. LA ROSA ABOGADOS SOCIEDAD CIVIL DE RESPONSABILIDAD LIMITADA-LLOSA &amp; R. LA ROSA ABOGADOS S</t>
  </si>
  <si>
    <t>HUAMAN CORNELIO RAFAEL RICARDO</t>
  </si>
  <si>
    <t>HUAMAN DE LOS HEROS PANCORVO BENJAMIN VICENTE MARIO</t>
  </si>
  <si>
    <t>VALERA CHIRINOS GERARDO LUIS</t>
  </si>
  <si>
    <t>PINILLOS VIZCARRA KARLA</t>
  </si>
  <si>
    <t>GARRO MENDIOLA HUGO</t>
  </si>
  <si>
    <t>CEDRON ZARATE JOSE GABRIEL</t>
  </si>
  <si>
    <t>CACERES ALMANDOS LUISA MONICA</t>
  </si>
  <si>
    <t>ESPINOZA HERRERA GUSTAVO JOAQUIN</t>
  </si>
  <si>
    <t>LOPEZ RIOS LUCIA DEL ROCIO</t>
  </si>
  <si>
    <t>TOLEDO  FERNANDO ADRIAN</t>
  </si>
  <si>
    <t>MAURY HOLGUIN MONICA CECILIA</t>
  </si>
  <si>
    <t>CALLE BUSTAMANTE ABEL ANTONIO</t>
  </si>
  <si>
    <t>VELASCO COLLAZOS JHONNY ALEXANDER</t>
  </si>
  <si>
    <t>MARVAL PERU SAC</t>
  </si>
  <si>
    <t>ZARATE CHAVEZ SERGIO HECTOR</t>
  </si>
  <si>
    <t>KAUFMANN PARDO PAUL PETER</t>
  </si>
  <si>
    <t>DESARROLLO SOCIAL INMOBILIARIO S.A.C.</t>
  </si>
  <si>
    <t>AGUAS  DE  BAYOVAR S.A.C.</t>
  </si>
  <si>
    <t>PATRIMONIO EN FIDEICOMISO - D. LEG. N°. 861 NO INSCRITO EN LA SMV DIRIGIDO A INVERSIONISTAS INSTIT</t>
  </si>
  <si>
    <t>BYBLUE PERU SOCIEDAD ANONIMA CERRADA - BYBLUE PERU S.A.C.</t>
  </si>
  <si>
    <t>P0186645</t>
  </si>
  <si>
    <t>AC TOURS S.A.C.</t>
  </si>
  <si>
    <t>BUSINESS ANALYTICS S.A.C.</t>
  </si>
  <si>
    <t>E0030659</t>
  </si>
  <si>
    <t>E0029811</t>
  </si>
  <si>
    <t>E0035134</t>
  </si>
  <si>
    <t>E0022613</t>
  </si>
  <si>
    <t>E0029411</t>
  </si>
  <si>
    <t>E0003294</t>
  </si>
  <si>
    <t>SVENDBORG BRAKES PERU S.A.C.</t>
  </si>
  <si>
    <t>E0030392</t>
  </si>
  <si>
    <t>WALTERSDORFER RIVERA FRANCISCO JOSE</t>
  </si>
  <si>
    <t>HELGUERO SOLARI MARIA DEL CARMEN VIRGINIA MATILDE L</t>
  </si>
  <si>
    <t>MENDOZA CASALINO ANTONIO JOSE</t>
  </si>
  <si>
    <t>PARDO PACHECO DE KAUFMANN MARIA INES ROSARIO</t>
  </si>
  <si>
    <t>VALLE CRUZADO ARACELI ESTHER</t>
  </si>
  <si>
    <t>PASTOR MATTA DE ACEVEDO CARMEN ROSA</t>
  </si>
  <si>
    <t>NEUHAUS WIESE RODOLFO FERNANDO</t>
  </si>
  <si>
    <t>GRAÑA ACUÑA ANDRES AGUSTIN</t>
  </si>
  <si>
    <t>ZERPA MANRIQUE RONIE</t>
  </si>
  <si>
    <t>TRINIDAD RAMON CARLOS ENRIQUE</t>
  </si>
  <si>
    <t>ALBUJAR CAMACHO JUAN CARLOS FERNANDO</t>
  </si>
  <si>
    <t>PORTILLA ALVAREZ CARLOS ANDRES</t>
  </si>
  <si>
    <t>VELASCO CARRION JORGE ALFREDO</t>
  </si>
  <si>
    <t>GILES PONCE TERESA</t>
  </si>
  <si>
    <t>CORDOVA RODRIGUEZ DIANA JULISSA</t>
  </si>
  <si>
    <t>BUENDIA SARDON JULIO CESAR</t>
  </si>
  <si>
    <t>ARBULU RIVERA ANA FIORELLA</t>
  </si>
  <si>
    <t>CORPORACION TERMODINAMICA SOCIEDAD ANONIMA</t>
  </si>
  <si>
    <t>CONEXIS GROUP SOCIEDAD ANONIMA CERRADA</t>
  </si>
  <si>
    <t>E0028118</t>
  </si>
  <si>
    <t>CASTILLO HUAMAN JUAN PABLO</t>
  </si>
  <si>
    <t>CASALLO ORTEGA PATRICIA ELENA IRENE</t>
  </si>
  <si>
    <t>DEL CARPIO CARREÑO PEDRO GUSTAVO</t>
  </si>
  <si>
    <t>SAAVEDRA WERNER JUAN DIEGO</t>
  </si>
  <si>
    <t>REY REY RAFAEL</t>
  </si>
  <si>
    <t>FLEISHMAN NEGRON JOANNE</t>
  </si>
  <si>
    <t>ARIAS VELASQUEZ RICARDO MANUEL</t>
  </si>
  <si>
    <t>LAZO TORREBLANCA EDUARDO</t>
  </si>
  <si>
    <t>PACHECO GAMBOA APARICIO YURIELLA</t>
  </si>
  <si>
    <t>VEGAS PATIÑO FERNANDO AUGUSTO</t>
  </si>
  <si>
    <t>LOZADA POZO GUILLERMO MARTIN</t>
  </si>
  <si>
    <t>GILES PONCE CARLOS LEONIDAS</t>
  </si>
  <si>
    <t>ARRIECHE TOVAR ROSANA DEYANIRA</t>
  </si>
  <si>
    <t>FERNANDEZ CORNEJO JORGE ALFONSO</t>
  </si>
  <si>
    <t>INNOVANDO SOLUCIONES TECNOLOGICAS E.I.R.L</t>
  </si>
  <si>
    <t>MOGOLLON FERRER HUGO ENRIQUE</t>
  </si>
  <si>
    <t>LLAP NEGRON MOISES ALEJANDRO</t>
  </si>
  <si>
    <t>SALDAÑA FERIA CARMEN FLOR</t>
  </si>
  <si>
    <t>MELGAR PRADO MIRIAM EMPERATRIZ</t>
  </si>
  <si>
    <t>VALENCIA MAC KEE JORGE HERNAN</t>
  </si>
  <si>
    <t>CESPEDES JIMENEZ NOREN DEL ROSARIO</t>
  </si>
  <si>
    <t>MADUEÑO CARCELEN RENZO ANTONIO</t>
  </si>
  <si>
    <t>CACERES SALAZAR PEGGY MAGALY</t>
  </si>
  <si>
    <t>ANGULO JULCA FERNANDO MIGUEL</t>
  </si>
  <si>
    <t>DE RIVERO RUIZ MANUEL IGNACIO ALFONSO</t>
  </si>
  <si>
    <t>VALDIVIEZO RAMOS SOL MARIA NATHALIE</t>
  </si>
  <si>
    <t>INTERNATIONAL 4PL CARGO S.A.C.</t>
  </si>
  <si>
    <t>MACEDO HERRERA GIULIANA IRINA</t>
  </si>
  <si>
    <t>ENCINAS MARROQUIN CAROLINA NANCY</t>
  </si>
  <si>
    <t>ZAPATA MOYA ARMANDO RODOLFO MIGUEL</t>
  </si>
  <si>
    <t>PFLUCKER VALDIVIA CAROLINE</t>
  </si>
  <si>
    <t>QUIROZ CORAL MANUEL ADOLFO</t>
  </si>
  <si>
    <t>TRANSLIGRA S.A.C.</t>
  </si>
  <si>
    <t>ADMINISTRA &amp; ETC S.A.C.</t>
  </si>
  <si>
    <t>VALLE MAS ORLANDO</t>
  </si>
  <si>
    <t>MANSILLA MANRIQUE ROCIO ZENAIDA</t>
  </si>
  <si>
    <t>SAMANEZ GRINSTEN JOSE FERNANDO</t>
  </si>
  <si>
    <t>RODRIGUEZ VALDEZ JULIO CESAR</t>
  </si>
  <si>
    <t>OSORIO LINARES KARIN ROCIO</t>
  </si>
  <si>
    <t>PEÑA BOHORQUEZ ALBERTO</t>
  </si>
  <si>
    <t>LAY INFANTES-INFANTES FERNANDO</t>
  </si>
  <si>
    <t>HAMANN AMEZAGA ERIKA MARIA</t>
  </si>
  <si>
    <t>CALLE LOS JARDINES NUMERO 109-117 URBANIZACIÓN CLUB GOLF LOS INCAS SANTIAGO DE SURCO</t>
  </si>
  <si>
    <t>ISLA HERRERA HARRY</t>
  </si>
  <si>
    <t>BELL-TAYLOR MENDIOLA CARMEN MARIA</t>
  </si>
  <si>
    <t>RODRIGUEZ ARDILES RICARDO JOSE FERNANDO</t>
  </si>
  <si>
    <t>CASTELLARES CARLIN JESUS ERNESTO</t>
  </si>
  <si>
    <t>CARPIO CORREA ROSA CELIA</t>
  </si>
  <si>
    <t>ANDRESS BENAVIDES DE HARMSEN ANA TERESA</t>
  </si>
  <si>
    <t>FARRO MANRIQUE ELMER MIGUEL</t>
  </si>
  <si>
    <t>REQUEJO CABRERA GERMAN ANTONIO</t>
  </si>
  <si>
    <t>SAN MARTIN NAVEA DE MUJICA MARIA EUGENIA</t>
  </si>
  <si>
    <t>PAZ GUILLEN MARISSA ANDREA</t>
  </si>
  <si>
    <t>LEYTON ALVA JUAN DOMINGO ALEJANDRO</t>
  </si>
  <si>
    <t>AZAÑA MARRUFO FELIPE CARLOS</t>
  </si>
  <si>
    <t>ROSELLO VARGAS ZOILA MARIA DEL PILAR</t>
  </si>
  <si>
    <t>ASENCIOS GOMEZ LASTENIA CECILIA</t>
  </si>
  <si>
    <t>2023-05-29</t>
  </si>
  <si>
    <t>2023-10-02</t>
  </si>
  <si>
    <t>2024-12-02</t>
  </si>
  <si>
    <t>2025-02-03</t>
  </si>
  <si>
    <t>2025-05-07</t>
  </si>
  <si>
    <t>2025-05-28</t>
  </si>
  <si>
    <t>2025-07-11</t>
  </si>
  <si>
    <t>2025-07-29</t>
  </si>
  <si>
    <t>2025-08-01</t>
  </si>
  <si>
    <t>2025-08-14</t>
  </si>
  <si>
    <t>2025-08-23</t>
  </si>
  <si>
    <t>2025-08-25</t>
  </si>
  <si>
    <t>2025-09-01</t>
  </si>
  <si>
    <t>2025-09-04</t>
  </si>
  <si>
    <t>2025-09-05</t>
  </si>
  <si>
    <t>2025-09-06</t>
  </si>
  <si>
    <t>2025-09-10</t>
  </si>
  <si>
    <t>2025-09-11</t>
  </si>
  <si>
    <t>2025-09-12</t>
  </si>
  <si>
    <t>2025-09-14</t>
  </si>
  <si>
    <t>2025-09-17</t>
  </si>
  <si>
    <t>2025-09-18</t>
  </si>
  <si>
    <t>2025-09-25</t>
  </si>
  <si>
    <t>2025-09-28</t>
  </si>
  <si>
    <t>2025-10-01</t>
  </si>
  <si>
    <t>2025-10-02</t>
  </si>
  <si>
    <t>2025-10-07</t>
  </si>
  <si>
    <t>2025-10-09</t>
  </si>
  <si>
    <t>2025-10-23</t>
  </si>
  <si>
    <t>ZAPPING PERU S.A.C.</t>
  </si>
  <si>
    <t>TALLERES LA LEGUA SOCIEDAD ANONIMA CERRADA - TALLERES LA LEGUA S.A.C.</t>
  </si>
  <si>
    <t>AYALA MARTINEZ SARA ESTHER</t>
  </si>
  <si>
    <t>E0028438</t>
  </si>
  <si>
    <t>FELIX GUERRERO MONICA LIZBET</t>
  </si>
  <si>
    <t>FIGUEROA DANERI TERESA ISABEL</t>
  </si>
  <si>
    <t>E0037561</t>
  </si>
  <si>
    <t>LLONA GARCIA MIRO PABLO EMILIO</t>
  </si>
  <si>
    <t>ESCOBEDO RIVERA DE FERNANDEZ MIRTHA MILAGROS</t>
  </si>
  <si>
    <t>2025-09-15</t>
  </si>
  <si>
    <t>2025-10-08</t>
  </si>
  <si>
    <t>2025-10-20</t>
  </si>
  <si>
    <t>2025-10-31</t>
  </si>
  <si>
    <t>2025-11-19</t>
  </si>
  <si>
    <t>BARCENAS CASTILLO JUAN DIEGO</t>
  </si>
  <si>
    <t>CARBONEL CAVERO EDGARDO PAUL</t>
  </si>
  <si>
    <t>PICKMAN SANCHEZ ENA DENISSE</t>
  </si>
  <si>
    <t>LAZO SOTIL RAUL MANUEL</t>
  </si>
  <si>
    <t>TEMPUTRONIC S.A.C.</t>
  </si>
  <si>
    <t>E0038653</t>
  </si>
  <si>
    <t>DIAZ PEREZ JORGE ANGEL</t>
  </si>
  <si>
    <t>SECLEN RAMOS TANY SOL</t>
  </si>
  <si>
    <t>ANDERSON BLONDET ITA MARIA ANGELICA</t>
  </si>
  <si>
    <t>BEJAR FUENTES RENATTO</t>
  </si>
  <si>
    <t>VENEGAS CUEVA EDWIN EDUARDO</t>
  </si>
  <si>
    <t>CALDERON MENDOZA NANCY VANESSA</t>
  </si>
  <si>
    <t>DUN &amp; BRADSTREET S.A.C.</t>
  </si>
  <si>
    <t>2025-09-22</t>
  </si>
  <si>
    <t>2025-09-26</t>
  </si>
  <si>
    <t>2025-09-27</t>
  </si>
  <si>
    <t>2025-10-04</t>
  </si>
  <si>
    <t>2025-10-10</t>
  </si>
  <si>
    <t>2025-10-17</t>
  </si>
  <si>
    <t>2025-10-18</t>
  </si>
  <si>
    <t>2025-10-22</t>
  </si>
  <si>
    <t>2025-10-24</t>
  </si>
  <si>
    <t>2025-10-27</t>
  </si>
  <si>
    <t>2025-11-05</t>
  </si>
  <si>
    <t>2025-11-10</t>
  </si>
  <si>
    <t>2025-11-17</t>
  </si>
  <si>
    <t>PERUVIAN NORTH FOOD SAC</t>
  </si>
  <si>
    <t>SENCINET LATAM PERU S.A.C.</t>
  </si>
  <si>
    <t>PESANTES PEREZ SARA MILAGROS</t>
  </si>
  <si>
    <t>2025-07-28</t>
  </si>
  <si>
    <t>2025-10-03</t>
  </si>
  <si>
    <t>VAN DER VALK MATIENZO MARIA LUISA</t>
  </si>
  <si>
    <t>FIMA CORP. S.A.C.</t>
  </si>
  <si>
    <t>XIAOMI RETAIL PERU S.A.C.</t>
  </si>
  <si>
    <t>TERAN SANCHEZ CLAUDIO MARCEL</t>
  </si>
  <si>
    <t>2025-10-11</t>
  </si>
  <si>
    <t>TELECYL PERU SAC</t>
  </si>
  <si>
    <t>FLORES CARCAGNO AMADEO JAVIER</t>
  </si>
  <si>
    <t>E0033759</t>
  </si>
  <si>
    <t>QUISPE MARTINEZ RICHARD SAUL</t>
  </si>
  <si>
    <t>E0037766</t>
  </si>
  <si>
    <t>P0278988</t>
  </si>
  <si>
    <t>S0336735</t>
  </si>
  <si>
    <t>GRAÑA MIRO QUESADA JOSE ALEJANDRO</t>
  </si>
  <si>
    <t>TABOADA DEL CASTILLO PEDRO PABLO</t>
  </si>
  <si>
    <t>GRAÑA ACUÑA HERNANDO ALEJANDRO CONSTANCIO</t>
  </si>
  <si>
    <t>GARCIA SCHRECK MARCIAL ALBERTO</t>
  </si>
  <si>
    <t>ARIAS MEZA MARIAN GABRIELA</t>
  </si>
  <si>
    <t>2025-10-13</t>
  </si>
  <si>
    <t>2025-10-15</t>
  </si>
  <si>
    <t>2025-10-16</t>
  </si>
  <si>
    <t>2025-10-25</t>
  </si>
  <si>
    <t>2025-11-01</t>
  </si>
  <si>
    <t>2025-11-08</t>
  </si>
  <si>
    <t>2025-12-01</t>
  </si>
  <si>
    <t>2025-12-15</t>
  </si>
  <si>
    <t>PODESTA HAUSTEIN GONZALO MANUEL</t>
  </si>
  <si>
    <t>FERNANDEZ MARCELO MARUJA NANCY</t>
  </si>
  <si>
    <t>OROSCO NUÑEZ JOHN MARCELINO</t>
  </si>
  <si>
    <t>DIAZ OLIVERO LUIS FRANCISCO</t>
  </si>
  <si>
    <t>SANCHEZ VILLACORTA LOUIS MICHAEL</t>
  </si>
  <si>
    <t>TORI DEVOTO DE GRAÑA ROSANNA</t>
  </si>
  <si>
    <t>LOPEZ PROAÑO LUIS LEONCIO ISRAEL</t>
  </si>
  <si>
    <t>PGZU SOCIEDAD COMERCIAL DE RESPONSABILIDAD LIMITADA - PGZU SRL</t>
  </si>
  <si>
    <t>SUCESION BERNARDO COTLEAR BOYD S.A.C.</t>
  </si>
  <si>
    <t>MEDIC YEM SALUD OCUPACIONAL S.A.C.</t>
  </si>
  <si>
    <t>E0034025</t>
  </si>
  <si>
    <t>CESPEDES VAN OORDT MIGUEL EMILIO</t>
  </si>
  <si>
    <t>CONSORCIO VIDA &amp; COLOR S.A.C.</t>
  </si>
  <si>
    <t>S0421521</t>
  </si>
  <si>
    <t>GRUPO GLOBAL BRANDS S.A.C.</t>
  </si>
  <si>
    <t>E0038819</t>
  </si>
  <si>
    <t>SPOT LINCE S.A.C.</t>
  </si>
  <si>
    <t>E0038807</t>
  </si>
  <si>
    <t>MAN RAMIREZ YULIANA RUTH</t>
  </si>
  <si>
    <t>PARRA BOCANEGRA KARLA MARIELLA</t>
  </si>
  <si>
    <t>MIRANDA ESTREMADOYRO FERNANDO PELAYO</t>
  </si>
  <si>
    <t>FUKUNAGA MENDOZA LUIS MARTIN</t>
  </si>
  <si>
    <t>HIRUNDO E.I.R.L.</t>
  </si>
  <si>
    <t>QUIROGA MENDOZA HOMERO</t>
  </si>
  <si>
    <t>DEL CASTILLO AMES HOMERO ALONSO</t>
  </si>
  <si>
    <t>ALVARADO GUTIERREZ AURELIA</t>
  </si>
  <si>
    <t>CASTILLO GONZALEZ FRANCISCO JAVIER</t>
  </si>
  <si>
    <t>SANCHEZ AGUILAR JOSE ANTONIO</t>
  </si>
  <si>
    <t>LININGS S.A.</t>
  </si>
  <si>
    <t>2025-10-14</t>
  </si>
  <si>
    <t>2025-10-19</t>
  </si>
  <si>
    <t>2025-10-21</t>
  </si>
  <si>
    <t>2025-10-26</t>
  </si>
  <si>
    <t>2025-11-06</t>
  </si>
  <si>
    <t>2025-11-16</t>
  </si>
  <si>
    <t>2025-11-20</t>
  </si>
  <si>
    <t>2025-11-24</t>
  </si>
  <si>
    <t>DAMERO FOOD S.A.C.</t>
  </si>
  <si>
    <t>HALL CAFE SAC</t>
  </si>
  <si>
    <t>LA MURALLA URBANA S.A.C.</t>
  </si>
  <si>
    <t>PUERTO SEAFOOD S.A.C.</t>
  </si>
  <si>
    <t>BAUTISTA ESTRUCTURAS SAC</t>
  </si>
  <si>
    <t>P0039204</t>
  </si>
  <si>
    <t>S0035867</t>
  </si>
  <si>
    <t>MEDINA MERINO DANESSE MELISSA</t>
  </si>
  <si>
    <t>4A GESTION INMOBILIARIA S.A.C.</t>
  </si>
  <si>
    <t>MIRANDA AYALA RICARDO ARTURO</t>
  </si>
  <si>
    <t>SAGARNAGA ROCCHETTI GINO KENNY</t>
  </si>
  <si>
    <t>VALENZUELA SUBIABRE ALEJANDRO</t>
  </si>
  <si>
    <t>2025-07-31</t>
  </si>
  <si>
    <t>2025-10-28</t>
  </si>
  <si>
    <t>2025-10-29</t>
  </si>
  <si>
    <t>2025-10-30</t>
  </si>
  <si>
    <t>2025-11-07</t>
  </si>
  <si>
    <t>2025-11-13</t>
  </si>
  <si>
    <t>2025-11-18</t>
  </si>
  <si>
    <t>2025-11-27</t>
  </si>
  <si>
    <t>2025-12-07</t>
  </si>
  <si>
    <t>2025-12-17</t>
  </si>
  <si>
    <t>2025-12-20</t>
  </si>
  <si>
    <t>E0012974</t>
  </si>
  <si>
    <t>MORALES LANAO WALTER</t>
  </si>
  <si>
    <t>LESCHACO PERU S.A.C.</t>
  </si>
  <si>
    <t>FITESA PERU S.A.C.</t>
  </si>
  <si>
    <t>ENERGIAS FIRMES DEL PERU S.A.C. - EFIPE S.A.C.</t>
  </si>
  <si>
    <t>CONSORCIO EJECUTOR CHANCHAMAYO II</t>
  </si>
  <si>
    <t>P0276163</t>
  </si>
  <si>
    <t>S0331483</t>
  </si>
  <si>
    <t>LOGICORPERU S.A.C.</t>
  </si>
  <si>
    <t>SOCIEDAD AGRICOLA YOLANDA PATRICIA S.A.C.</t>
  </si>
  <si>
    <t>INDUSTRIAS NETTALCO S.A.</t>
  </si>
  <si>
    <t>E0032428</t>
  </si>
  <si>
    <t>CECILIA CECILIA S.A.C.</t>
  </si>
  <si>
    <t>E0037340</t>
  </si>
  <si>
    <t>F.G.H. CORPORATION S.A.C.</t>
  </si>
  <si>
    <t>E0024044</t>
  </si>
  <si>
    <t>E0005074</t>
  </si>
  <si>
    <t>IMPRESSO GRAFICA S A</t>
  </si>
  <si>
    <t>E0001323</t>
  </si>
  <si>
    <t>INTEL SEMICONDUCTORES DEL PERU S.A</t>
  </si>
  <si>
    <t>E0031545</t>
  </si>
  <si>
    <t>KONST INGENIEROS Y ARQUITECTOS S.A.C.   KONST S.A.C.</t>
  </si>
  <si>
    <t>E0026371</t>
  </si>
  <si>
    <t>QHSE - ENERGY SERVICES S.A.C.</t>
  </si>
  <si>
    <t>E0032980</t>
  </si>
  <si>
    <t>SOLMARTOUR S A</t>
  </si>
  <si>
    <t>E0002616</t>
  </si>
  <si>
    <t>TIQUE S.A.C.</t>
  </si>
  <si>
    <t>E0028654</t>
  </si>
  <si>
    <t>RABOFINANCE PERU S.A.C. - RABOFINANCE PERU</t>
  </si>
  <si>
    <t>E0024561</t>
  </si>
  <si>
    <t>HOUSEONLINE S.A.</t>
  </si>
  <si>
    <t>E0003208</t>
  </si>
  <si>
    <t>OVM SAC</t>
  </si>
  <si>
    <t>UGAZ BEER ENRIQUE ALBERTO</t>
  </si>
  <si>
    <t>E0028499</t>
  </si>
  <si>
    <t>UNILEVER ANDINA PERU S.A.</t>
  </si>
  <si>
    <t>FLOR TORO JOSE LUIS</t>
  </si>
  <si>
    <t>TREC</t>
  </si>
  <si>
    <t>2025-11-02</t>
  </si>
  <si>
    <t>2025-11-03</t>
  </si>
  <si>
    <t>TRANSPORTE FLOTANTE</t>
  </si>
  <si>
    <t>2025-11-04</t>
  </si>
  <si>
    <t>2025-11-09</t>
  </si>
  <si>
    <t>2025-11-15</t>
  </si>
  <si>
    <t>PUERTO 260 S.A.C.</t>
  </si>
  <si>
    <t>BALTAZAR Y NICOLAS ASOCIACIÓN CIVIL SIN FINES DE LUCRO</t>
  </si>
  <si>
    <t>TÉCNICAS REUNIDAS DE TALARA SOCIEDAD ANONIMA CERRADA</t>
  </si>
  <si>
    <t>E0018775</t>
  </si>
  <si>
    <t>ELECNOR PERU S.A.C.</t>
  </si>
  <si>
    <t>VIDAL HUAMAN MARCO ANTONIO</t>
  </si>
  <si>
    <t>VERA OJEDA VICTOR MARTIN</t>
  </si>
  <si>
    <t>GULMAN ELIAS PAULINA</t>
  </si>
  <si>
    <t>M.G. GROUP CONSULTING S.A.C.</t>
  </si>
  <si>
    <t>BPZ EXPLORACION &amp; PRODUCCION S.R.L.</t>
  </si>
  <si>
    <t>2025-11-11</t>
  </si>
  <si>
    <t>2025-11-12</t>
  </si>
  <si>
    <t>ASISTENCIA MEDICA COLECTIVAS</t>
  </si>
  <si>
    <t>2025-11-14</t>
  </si>
  <si>
    <t>2025-11-29</t>
  </si>
  <si>
    <t>2025-12-04</t>
  </si>
  <si>
    <t>2025-12-08</t>
  </si>
  <si>
    <t>2025-12-10</t>
  </si>
  <si>
    <t>2025-12-24</t>
  </si>
  <si>
    <t>2025-12-31</t>
  </si>
  <si>
    <t>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</si>
</sst>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pivotButton="1"/>
    <xf numFmtId="0" fontId="0" fillId="0" borderId="0" xfId="0" pivotButton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pivotButton="1" applyFont="1" applyAlignment="1">
      <alignment horizontal="center" vertical="center"/>
    </xf>
    <xf numFmtId="0" fontId="1" fillId="0" borderId="2" xfId="0" applyFont="1" applyBorder="1" applyAlignment="1">
      <alignment horizontal="left"/>
    </xf>
    <xf numFmtId="1" fontId="1" fillId="0" borderId="0" xfId="1" applyNumberFormat="1" applyFont="1" applyAlignment="1">
      <alignment horizontal="left"/>
    </xf>
    <xf numFmtId="1" fontId="0" fillId="0" borderId="0" xfId="1" applyNumberFormat="1" applyFon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wrapText="1"/>
    </xf>
  </cellXfs>
  <cellStyles count="2">
    <cellStyle name="Millares" xfId="1" builtinId="3"/>
    <cellStyle name="Normal" xfId="0" builtinId="0"/>
  </cellStyles>
  <dxfs count="1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font>
        <b/>
      </font>
    </dxf>
    <dxf>
      <alignment vertical="center"/>
    </dxf>
    <dxf>
      <alignment horizontal="center"/>
    </dxf>
    <dxf>
      <alignment wrapText="1"/>
    </dxf>
    <dxf>
      <alignment wrapText="1"/>
    </dxf>
    <dxf>
      <alignment wrapText="1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nzo%20Araujo\Downloads\DIFERENCIAS-%20CIAS%20SCIS\DIFERENCIAS-%20CIAS%20SCIS\PolizaPorFiltro%20-%202025-10-15T100538.270_SICS.xls" TargetMode="External"/><Relationship Id="rId1" Type="http://schemas.openxmlformats.org/officeDocument/2006/relationships/externalLinkPath" Target="/Users/Renzo%20Araujo/Downloads/DIFERENCIAS-%20CIAS%20SCIS/DIFERENCIAS-%20CIAS%20SCIS/PolizaPorFiltro%20-%202025-10-15T100538.270_SIC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nzo%20Araujo\Downloads\DIFERENCIAS-%20CIAS%20SCIS\DIFERENCIAS-%20CIAS%20SCIS\20241022%20-%20Tablero%20de%20renovaciones%202025-26%20(14).xlsx" TargetMode="External"/><Relationship Id="rId1" Type="http://schemas.openxmlformats.org/officeDocument/2006/relationships/externalLinkPath" Target="/Users/Renzo%20Araujo/Downloads/DIFERENCIAS-%20CIAS%20SCIS/DIFERENCIAS-%20CIAS%20SCIS/20241022%20-%20Tablero%20de%20renovaciones%202025-26%20(1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ePolizaPorFiltroArribas"/>
    </sheetNames>
    <sheetDataSet>
      <sheetData sheetId="0">
        <row r="1">
          <cell r="G1" t="str">
            <v>Rimac</v>
          </cell>
          <cell r="O1" t="str">
            <v>Fin Vig</v>
          </cell>
        </row>
        <row r="2">
          <cell r="G2" t="str">
            <v>A0S230</v>
          </cell>
          <cell r="O2" t="str">
            <v>2025-01</v>
          </cell>
        </row>
        <row r="3">
          <cell r="G3" t="str">
            <v>CIO906</v>
          </cell>
          <cell r="O3" t="str">
            <v>2017-05</v>
          </cell>
        </row>
        <row r="4">
          <cell r="G4" t="str">
            <v>CQC673</v>
          </cell>
          <cell r="O4" t="str">
            <v>2023-07</v>
          </cell>
        </row>
        <row r="5">
          <cell r="G5" t="str">
            <v>D4T281</v>
          </cell>
          <cell r="O5" t="str">
            <v>2023-06</v>
          </cell>
        </row>
        <row r="6">
          <cell r="G6" t="str">
            <v>T2F214</v>
          </cell>
          <cell r="O6" t="str">
            <v>2025-03</v>
          </cell>
        </row>
        <row r="7">
          <cell r="G7" t="str">
            <v>RTBWL256</v>
          </cell>
          <cell r="O7" t="str">
            <v>2024-02</v>
          </cell>
        </row>
        <row r="8">
          <cell r="G8" t="str">
            <v>RTCIH677</v>
          </cell>
          <cell r="O8" t="str">
            <v>2023-03</v>
          </cell>
        </row>
        <row r="9">
          <cell r="G9" t="str">
            <v>RTCQC673</v>
          </cell>
          <cell r="O9" t="str">
            <v>2022-11</v>
          </cell>
        </row>
        <row r="10">
          <cell r="G10" t="str">
            <v>RTD4T281</v>
          </cell>
          <cell r="O10" t="str">
            <v>2023-07</v>
          </cell>
        </row>
        <row r="11">
          <cell r="G11">
            <v>170049942</v>
          </cell>
          <cell r="O11" t="str">
            <v>2043-01</v>
          </cell>
        </row>
        <row r="12">
          <cell r="G12">
            <v>660000283</v>
          </cell>
          <cell r="O12" t="str">
            <v>2037-01</v>
          </cell>
        </row>
        <row r="13">
          <cell r="G13" t="str">
            <v>RTM5J708</v>
          </cell>
          <cell r="O13" t="str">
            <v>2025-06</v>
          </cell>
        </row>
        <row r="14">
          <cell r="G14" t="str">
            <v>RTW72150</v>
          </cell>
          <cell r="O14" t="str">
            <v>2025-05</v>
          </cell>
        </row>
        <row r="15">
          <cell r="G15" t="str">
            <v>RTALF913</v>
          </cell>
          <cell r="O15" t="str">
            <v>2024-10</v>
          </cell>
        </row>
        <row r="16">
          <cell r="G16" t="str">
            <v>BAW122</v>
          </cell>
          <cell r="O16" t="str">
            <v>2025-03</v>
          </cell>
        </row>
        <row r="17">
          <cell r="G17" t="str">
            <v>BSF024</v>
          </cell>
          <cell r="O17" t="str">
            <v>2025-12</v>
          </cell>
        </row>
        <row r="18">
          <cell r="G18" t="str">
            <v>BSH539</v>
          </cell>
          <cell r="O18" t="str">
            <v>2026-02</v>
          </cell>
        </row>
        <row r="19">
          <cell r="G19" t="str">
            <v>EMI383</v>
          </cell>
          <cell r="O19" t="str">
            <v>2024-07</v>
          </cell>
        </row>
        <row r="20">
          <cell r="G20" t="str">
            <v>EMI404</v>
          </cell>
          <cell r="O20" t="str">
            <v>2023-10</v>
          </cell>
        </row>
        <row r="21">
          <cell r="G21" t="str">
            <v>RTA0S230</v>
          </cell>
          <cell r="O21" t="str">
            <v>2024-09</v>
          </cell>
        </row>
        <row r="22">
          <cell r="G22" t="str">
            <v>RTABW671</v>
          </cell>
          <cell r="O22" t="str">
            <v>2025-04</v>
          </cell>
        </row>
        <row r="23">
          <cell r="G23" t="str">
            <v>RTAZQ825</v>
          </cell>
          <cell r="O23" t="str">
            <v>2025-01</v>
          </cell>
        </row>
        <row r="24">
          <cell r="G24" t="str">
            <v>RTBCD645</v>
          </cell>
          <cell r="O24" t="str">
            <v>2025-05</v>
          </cell>
        </row>
        <row r="25">
          <cell r="G25" t="str">
            <v>RTC6O157</v>
          </cell>
          <cell r="O25" t="str">
            <v>2024-09</v>
          </cell>
        </row>
        <row r="26">
          <cell r="G26" t="str">
            <v>RTEMI404</v>
          </cell>
          <cell r="O26" t="str">
            <v>2024-07</v>
          </cell>
        </row>
        <row r="27">
          <cell r="G27" t="str">
            <v>TE-000153-0</v>
          </cell>
          <cell r="O27" t="str">
            <v>2033-12</v>
          </cell>
        </row>
        <row r="28">
          <cell r="G28" t="str">
            <v>RTADC057</v>
          </cell>
          <cell r="O28" t="str">
            <v>2025-06</v>
          </cell>
        </row>
        <row r="29">
          <cell r="G29" t="str">
            <v>RTALE533</v>
          </cell>
          <cell r="O29" t="str">
            <v>2024-11</v>
          </cell>
        </row>
        <row r="30">
          <cell r="G30" t="str">
            <v>CIH677</v>
          </cell>
          <cell r="O30" t="str">
            <v>2023-07</v>
          </cell>
        </row>
        <row r="31">
          <cell r="G31" t="str">
            <v>CJJ383</v>
          </cell>
          <cell r="O31" t="str">
            <v>2025-11</v>
          </cell>
        </row>
        <row r="32">
          <cell r="G32" t="str">
            <v>A7E331</v>
          </cell>
          <cell r="O32" t="str">
            <v>2025-08</v>
          </cell>
        </row>
        <row r="33">
          <cell r="G33" t="str">
            <v>APA766</v>
          </cell>
          <cell r="O33" t="str">
            <v>2026-01</v>
          </cell>
        </row>
        <row r="34">
          <cell r="G34" t="str">
            <v>AWJ621</v>
          </cell>
          <cell r="O34" t="str">
            <v>2025-10</v>
          </cell>
        </row>
        <row r="35">
          <cell r="G35" t="str">
            <v>AXR926</v>
          </cell>
          <cell r="O35" t="str">
            <v>2025-11</v>
          </cell>
        </row>
        <row r="36">
          <cell r="G36" t="str">
            <v>BBE300</v>
          </cell>
          <cell r="O36" t="str">
            <v>2025-12</v>
          </cell>
        </row>
        <row r="37">
          <cell r="G37" t="str">
            <v>BBQ362</v>
          </cell>
          <cell r="O37" t="str">
            <v>2026-03</v>
          </cell>
        </row>
        <row r="38">
          <cell r="G38" t="str">
            <v>BBW672</v>
          </cell>
          <cell r="O38" t="str">
            <v>2026-03</v>
          </cell>
        </row>
        <row r="39">
          <cell r="G39" t="str">
            <v>BDL184</v>
          </cell>
          <cell r="O39" t="str">
            <v>2026-07</v>
          </cell>
        </row>
        <row r="40">
          <cell r="G40" t="str">
            <v>BED645</v>
          </cell>
          <cell r="O40" t="str">
            <v>2025-09</v>
          </cell>
        </row>
        <row r="41">
          <cell r="G41" t="str">
            <v>BMI599</v>
          </cell>
          <cell r="O41" t="str">
            <v>2025-10</v>
          </cell>
        </row>
        <row r="42">
          <cell r="G42" t="str">
            <v>BNY358</v>
          </cell>
          <cell r="O42" t="str">
            <v>2026-03</v>
          </cell>
        </row>
        <row r="43">
          <cell r="G43" t="str">
            <v>BRS164</v>
          </cell>
          <cell r="O43" t="str">
            <v>2025-09</v>
          </cell>
        </row>
        <row r="44">
          <cell r="G44" t="str">
            <v>BTP461</v>
          </cell>
          <cell r="O44" t="str">
            <v>2026-04</v>
          </cell>
        </row>
        <row r="45">
          <cell r="G45" t="str">
            <v>BYD273</v>
          </cell>
          <cell r="O45" t="str">
            <v>2026-01</v>
          </cell>
        </row>
        <row r="46">
          <cell r="G46" t="str">
            <v>BZA075</v>
          </cell>
          <cell r="O46" t="str">
            <v>2026-03</v>
          </cell>
        </row>
        <row r="47">
          <cell r="G47" t="str">
            <v>C3T143</v>
          </cell>
          <cell r="O47" t="str">
            <v>2026-03</v>
          </cell>
        </row>
        <row r="48">
          <cell r="G48" t="str">
            <v>CAE565</v>
          </cell>
          <cell r="O48" t="str">
            <v>2026-06</v>
          </cell>
        </row>
        <row r="49">
          <cell r="G49" t="str">
            <v>CAK316</v>
          </cell>
          <cell r="O49" t="str">
            <v>2026-06</v>
          </cell>
        </row>
        <row r="50">
          <cell r="G50" t="str">
            <v>CAU767</v>
          </cell>
          <cell r="O50" t="str">
            <v>2025-09</v>
          </cell>
        </row>
        <row r="51">
          <cell r="G51" t="str">
            <v>CAU772</v>
          </cell>
          <cell r="O51" t="str">
            <v>2025-09</v>
          </cell>
        </row>
        <row r="52">
          <cell r="G52" t="str">
            <v>CBJ442</v>
          </cell>
          <cell r="O52" t="str">
            <v>2025-09</v>
          </cell>
        </row>
        <row r="53">
          <cell r="G53" t="str">
            <v>CDK671</v>
          </cell>
          <cell r="O53" t="str">
            <v>2026-01</v>
          </cell>
        </row>
        <row r="54">
          <cell r="G54" t="str">
            <v>CEQ011</v>
          </cell>
          <cell r="O54" t="str">
            <v>2025-11</v>
          </cell>
        </row>
        <row r="55">
          <cell r="G55" t="str">
            <v>CEV432</v>
          </cell>
          <cell r="O55" t="str">
            <v>2026-05</v>
          </cell>
        </row>
        <row r="56">
          <cell r="G56" t="str">
            <v>CFJ570</v>
          </cell>
          <cell r="O56" t="str">
            <v>2026-06</v>
          </cell>
        </row>
        <row r="57">
          <cell r="G57" t="str">
            <v>CFP681</v>
          </cell>
          <cell r="O57" t="str">
            <v>2026-06</v>
          </cell>
        </row>
        <row r="58">
          <cell r="G58" t="str">
            <v>CHO525</v>
          </cell>
          <cell r="O58" t="str">
            <v>2025-10</v>
          </cell>
        </row>
        <row r="59">
          <cell r="G59" t="str">
            <v>CJG019</v>
          </cell>
          <cell r="O59" t="str">
            <v>2025-10</v>
          </cell>
        </row>
        <row r="60">
          <cell r="G60" t="str">
            <v>CKW609</v>
          </cell>
          <cell r="O60" t="str">
            <v>2026-02</v>
          </cell>
        </row>
        <row r="61">
          <cell r="G61" t="str">
            <v>CKX268</v>
          </cell>
          <cell r="O61" t="str">
            <v>2026-02</v>
          </cell>
        </row>
        <row r="62">
          <cell r="G62" t="str">
            <v>CLT238</v>
          </cell>
          <cell r="O62" t="str">
            <v>2026-05</v>
          </cell>
        </row>
        <row r="63">
          <cell r="G63" t="str">
            <v>CMJ041</v>
          </cell>
          <cell r="O63" t="str">
            <v>2026-06</v>
          </cell>
        </row>
        <row r="64">
          <cell r="G64" t="str">
            <v>CND568</v>
          </cell>
          <cell r="O64" t="str">
            <v>2025-09</v>
          </cell>
        </row>
        <row r="65">
          <cell r="G65" t="str">
            <v>CNQ430</v>
          </cell>
          <cell r="O65" t="str">
            <v>2025-11</v>
          </cell>
        </row>
        <row r="66">
          <cell r="G66" t="str">
            <v>CNT583</v>
          </cell>
          <cell r="O66" t="str">
            <v>2025-10</v>
          </cell>
        </row>
        <row r="67">
          <cell r="G67" t="str">
            <v>CPC468</v>
          </cell>
          <cell r="O67" t="str">
            <v>2025-11</v>
          </cell>
        </row>
        <row r="68">
          <cell r="G68" t="str">
            <v>CPP182</v>
          </cell>
          <cell r="O68" t="str">
            <v>2025-12</v>
          </cell>
        </row>
        <row r="69">
          <cell r="G69" t="str">
            <v>CPS615</v>
          </cell>
          <cell r="O69" t="str">
            <v>2026-01</v>
          </cell>
        </row>
        <row r="70">
          <cell r="G70" t="str">
            <v>CRH273</v>
          </cell>
          <cell r="O70" t="str">
            <v>2026-03</v>
          </cell>
        </row>
        <row r="71">
          <cell r="G71" t="str">
            <v>CRX185</v>
          </cell>
          <cell r="O71" t="str">
            <v>2026-04</v>
          </cell>
        </row>
        <row r="72">
          <cell r="G72" t="str">
            <v>CSC031</v>
          </cell>
          <cell r="O72" t="str">
            <v>2026-04</v>
          </cell>
        </row>
        <row r="73">
          <cell r="G73" t="str">
            <v>CSD128</v>
          </cell>
          <cell r="O73" t="str">
            <v>2026-04</v>
          </cell>
        </row>
        <row r="74">
          <cell r="G74" t="str">
            <v>CTT333</v>
          </cell>
          <cell r="O74" t="str">
            <v>2026-08</v>
          </cell>
        </row>
        <row r="75">
          <cell r="G75" t="str">
            <v>D7S114</v>
          </cell>
          <cell r="O75" t="str">
            <v>2025-07</v>
          </cell>
        </row>
        <row r="76">
          <cell r="G76" t="str">
            <v>F0C426</v>
          </cell>
          <cell r="O76" t="str">
            <v>2025-11</v>
          </cell>
        </row>
        <row r="77">
          <cell r="G77" t="str">
            <v>RTALU201</v>
          </cell>
          <cell r="O77" t="str">
            <v>2025-09</v>
          </cell>
        </row>
        <row r="78">
          <cell r="G78" t="str">
            <v>RTAMW473</v>
          </cell>
          <cell r="O78" t="str">
            <v>2025-10</v>
          </cell>
        </row>
        <row r="79">
          <cell r="G79" t="str">
            <v>RTAPH498</v>
          </cell>
          <cell r="O79" t="str">
            <v>2025-12</v>
          </cell>
        </row>
        <row r="80">
          <cell r="G80" t="str">
            <v>RTASN685</v>
          </cell>
          <cell r="O80" t="str">
            <v>2025-12</v>
          </cell>
        </row>
        <row r="81">
          <cell r="G81" t="str">
            <v>RTAXR926</v>
          </cell>
          <cell r="O81" t="str">
            <v>2025-11</v>
          </cell>
        </row>
        <row r="82">
          <cell r="G82" t="str">
            <v>RTB0N429</v>
          </cell>
          <cell r="O82" t="str">
            <v>2025-08</v>
          </cell>
        </row>
        <row r="83">
          <cell r="G83" t="str">
            <v>RTB7U541</v>
          </cell>
          <cell r="O83" t="str">
            <v>2025-08</v>
          </cell>
        </row>
        <row r="84">
          <cell r="G84" t="str">
            <v>RTBDW378</v>
          </cell>
          <cell r="O84" t="str">
            <v>2025-12</v>
          </cell>
        </row>
        <row r="85">
          <cell r="G85" t="str">
            <v>RTBED645</v>
          </cell>
          <cell r="O85" t="str">
            <v>2025-09</v>
          </cell>
        </row>
        <row r="86">
          <cell r="G86" t="str">
            <v>RTBMI599</v>
          </cell>
          <cell r="O86" t="str">
            <v>2025-12</v>
          </cell>
        </row>
        <row r="87">
          <cell r="G87" t="str">
            <v>RTBMS495</v>
          </cell>
          <cell r="O87" t="str">
            <v>2025-10</v>
          </cell>
        </row>
        <row r="88">
          <cell r="G88" t="str">
            <v>RTBNR617</v>
          </cell>
          <cell r="O88" t="str">
            <v>2025-10</v>
          </cell>
        </row>
        <row r="89">
          <cell r="G89" t="str">
            <v>RTBNT154</v>
          </cell>
          <cell r="O89" t="str">
            <v>2025-09</v>
          </cell>
        </row>
        <row r="90">
          <cell r="G90" t="str">
            <v>RTBNV694</v>
          </cell>
          <cell r="O90" t="str">
            <v>2025-11</v>
          </cell>
        </row>
        <row r="91">
          <cell r="G91" t="str">
            <v>RTBNY358</v>
          </cell>
          <cell r="O91" t="str">
            <v>2026-02</v>
          </cell>
        </row>
        <row r="92">
          <cell r="G92" t="str">
            <v>RTBPN278</v>
          </cell>
          <cell r="O92" t="str">
            <v>2025-12</v>
          </cell>
        </row>
        <row r="93">
          <cell r="G93" t="str">
            <v>RTBPQ501</v>
          </cell>
          <cell r="O93" t="str">
            <v>2026-02</v>
          </cell>
        </row>
        <row r="94">
          <cell r="G94" t="str">
            <v>RTBVQ093</v>
          </cell>
          <cell r="O94" t="str">
            <v>2026-06</v>
          </cell>
        </row>
        <row r="95">
          <cell r="G95" t="str">
            <v>RTBVR283</v>
          </cell>
          <cell r="O95" t="str">
            <v>2026-05</v>
          </cell>
        </row>
        <row r="96">
          <cell r="G96" t="str">
            <v>RTBZA075</v>
          </cell>
          <cell r="O96" t="str">
            <v>2026-03</v>
          </cell>
        </row>
        <row r="97">
          <cell r="G97" t="str">
            <v>RTC4G133</v>
          </cell>
          <cell r="O97" t="str">
            <v>2025-09</v>
          </cell>
        </row>
        <row r="98">
          <cell r="G98" t="str">
            <v>RTCHO525</v>
          </cell>
          <cell r="O98" t="str">
            <v>2025-10</v>
          </cell>
        </row>
        <row r="99">
          <cell r="G99" t="str">
            <v>RTCIO906</v>
          </cell>
          <cell r="O99" t="str">
            <v>2017-01</v>
          </cell>
        </row>
        <row r="100">
          <cell r="G100" t="str">
            <v>ABM750</v>
          </cell>
          <cell r="O100" t="str">
            <v>2025-10</v>
          </cell>
        </row>
        <row r="101">
          <cell r="G101" t="str">
            <v>B8R030</v>
          </cell>
          <cell r="O101" t="str">
            <v>2026-04</v>
          </cell>
        </row>
        <row r="102">
          <cell r="G102" t="str">
            <v>C8R251</v>
          </cell>
          <cell r="O102" t="str">
            <v>2026-07</v>
          </cell>
        </row>
        <row r="103">
          <cell r="G103" t="str">
            <v>CNB376</v>
          </cell>
          <cell r="O103" t="str">
            <v>2025-08</v>
          </cell>
        </row>
        <row r="104">
          <cell r="G104" t="str">
            <v>CNE349</v>
          </cell>
          <cell r="O104" t="str">
            <v>2025-09</v>
          </cell>
        </row>
        <row r="105">
          <cell r="G105" t="str">
            <v>CNG646</v>
          </cell>
          <cell r="O105" t="str">
            <v>2025-09</v>
          </cell>
        </row>
        <row r="106">
          <cell r="G106" t="str">
            <v>D7K794</v>
          </cell>
          <cell r="O106" t="str">
            <v>2025-11</v>
          </cell>
        </row>
        <row r="107">
          <cell r="G107" t="str">
            <v>T5W318</v>
          </cell>
          <cell r="O107" t="str">
            <v>2025-09</v>
          </cell>
        </row>
        <row r="108">
          <cell r="G108" t="str">
            <v>V5U541</v>
          </cell>
          <cell r="O108" t="str">
            <v>2026-02</v>
          </cell>
        </row>
        <row r="109">
          <cell r="G109" t="str">
            <v>V8D956</v>
          </cell>
          <cell r="O109" t="str">
            <v>2025-09</v>
          </cell>
        </row>
        <row r="110">
          <cell r="G110" t="str">
            <v>RTB8R030</v>
          </cell>
          <cell r="O110" t="str">
            <v>2016-12</v>
          </cell>
        </row>
        <row r="111">
          <cell r="G111" t="str">
            <v>RTBLG254</v>
          </cell>
          <cell r="O111" t="str">
            <v>2026-05</v>
          </cell>
        </row>
        <row r="112">
          <cell r="G112" t="str">
            <v>RTCAG940</v>
          </cell>
          <cell r="O112" t="str">
            <v>2025-10</v>
          </cell>
        </row>
        <row r="113">
          <cell r="G113" t="str">
            <v>AVF388</v>
          </cell>
          <cell r="O113" t="str">
            <v>2025-08</v>
          </cell>
        </row>
        <row r="114">
          <cell r="G114" t="str">
            <v>B0N429</v>
          </cell>
          <cell r="O114" t="str">
            <v>2025-08</v>
          </cell>
        </row>
        <row r="115">
          <cell r="G115" t="str">
            <v>BNH073</v>
          </cell>
          <cell r="O115" t="str">
            <v>2026-01</v>
          </cell>
        </row>
        <row r="116">
          <cell r="G116" t="str">
            <v>CBZ073</v>
          </cell>
          <cell r="O116" t="str">
            <v>2026-01</v>
          </cell>
        </row>
        <row r="117">
          <cell r="G117" t="str">
            <v>CLP230</v>
          </cell>
          <cell r="O117" t="str">
            <v>2026-04</v>
          </cell>
        </row>
        <row r="118">
          <cell r="G118" t="str">
            <v>RTBBK389</v>
          </cell>
          <cell r="O118" t="str">
            <v>2025-09</v>
          </cell>
        </row>
        <row r="119">
          <cell r="G119" t="str">
            <v>RTBVE163</v>
          </cell>
          <cell r="O119" t="str">
            <v>2026-05</v>
          </cell>
        </row>
        <row r="120">
          <cell r="G120" t="str">
            <v>RTBWA822</v>
          </cell>
          <cell r="O120" t="str">
            <v>2026-05</v>
          </cell>
        </row>
        <row r="121">
          <cell r="G121" t="str">
            <v>RTV0W966</v>
          </cell>
          <cell r="O121" t="str">
            <v>2025-09</v>
          </cell>
        </row>
        <row r="122">
          <cell r="G122" t="str">
            <v>RTV8D956</v>
          </cell>
          <cell r="O122" t="str">
            <v>2025-09</v>
          </cell>
        </row>
        <row r="123">
          <cell r="G123" t="str">
            <v>ABC450</v>
          </cell>
          <cell r="O123" t="str">
            <v>2026-04</v>
          </cell>
        </row>
        <row r="124">
          <cell r="G124" t="str">
            <v>ACY683</v>
          </cell>
          <cell r="O124" t="str">
            <v>2026-02</v>
          </cell>
        </row>
        <row r="125">
          <cell r="G125" t="str">
            <v>ADI669</v>
          </cell>
          <cell r="O125" t="str">
            <v>2026-02</v>
          </cell>
        </row>
        <row r="126">
          <cell r="G126" t="str">
            <v>ARR000</v>
          </cell>
          <cell r="O126" t="str">
            <v>2025-08</v>
          </cell>
        </row>
        <row r="127">
          <cell r="G127" t="str">
            <v>ASN685</v>
          </cell>
          <cell r="O127" t="str">
            <v>2025-10</v>
          </cell>
        </row>
        <row r="128">
          <cell r="G128" t="str">
            <v>B9Q030</v>
          </cell>
          <cell r="O128" t="str">
            <v>2025-12</v>
          </cell>
        </row>
        <row r="129">
          <cell r="G129" t="str">
            <v>BBR302</v>
          </cell>
          <cell r="O129" t="str">
            <v>2025-10</v>
          </cell>
        </row>
        <row r="130">
          <cell r="G130" t="str">
            <v>BCD443</v>
          </cell>
          <cell r="O130" t="str">
            <v>2025-10</v>
          </cell>
        </row>
        <row r="131">
          <cell r="G131" t="str">
            <v>BCU146</v>
          </cell>
          <cell r="O131" t="str">
            <v>2025-10</v>
          </cell>
        </row>
        <row r="132">
          <cell r="G132" t="str">
            <v>BDW378</v>
          </cell>
          <cell r="O132" t="str">
            <v>2025-09</v>
          </cell>
        </row>
        <row r="133">
          <cell r="G133" t="str">
            <v>BHC579</v>
          </cell>
          <cell r="O133" t="str">
            <v>2026-01</v>
          </cell>
        </row>
        <row r="134">
          <cell r="G134" t="str">
            <v>BHU908</v>
          </cell>
          <cell r="O134" t="str">
            <v>2026-01</v>
          </cell>
        </row>
        <row r="135">
          <cell r="G135" t="str">
            <v>BJY199</v>
          </cell>
          <cell r="O135" t="str">
            <v>2025-08</v>
          </cell>
        </row>
        <row r="136">
          <cell r="G136" t="str">
            <v>BUN288</v>
          </cell>
          <cell r="O136" t="str">
            <v>2026-04</v>
          </cell>
        </row>
        <row r="137">
          <cell r="G137" t="str">
            <v>BYA582</v>
          </cell>
          <cell r="O137" t="str">
            <v>2025-12</v>
          </cell>
        </row>
        <row r="138">
          <cell r="G138" t="str">
            <v>BYR905</v>
          </cell>
          <cell r="O138" t="str">
            <v>2026-04</v>
          </cell>
        </row>
        <row r="139">
          <cell r="G139" t="str">
            <v>CCX310</v>
          </cell>
          <cell r="O139" t="str">
            <v>2025-12</v>
          </cell>
        </row>
        <row r="140">
          <cell r="G140" t="str">
            <v>CEZ234</v>
          </cell>
          <cell r="O140" t="str">
            <v>2026-05</v>
          </cell>
        </row>
        <row r="141">
          <cell r="G141" t="str">
            <v>CJS235</v>
          </cell>
          <cell r="O141" t="str">
            <v>2025-12</v>
          </cell>
        </row>
        <row r="142">
          <cell r="G142" t="str">
            <v>CLD128</v>
          </cell>
          <cell r="O142" t="str">
            <v>2026-04</v>
          </cell>
        </row>
        <row r="143">
          <cell r="G143" t="str">
            <v>CND528</v>
          </cell>
          <cell r="O143" t="str">
            <v>2025-09</v>
          </cell>
        </row>
        <row r="144">
          <cell r="G144" t="str">
            <v>CNG635</v>
          </cell>
          <cell r="O144" t="str">
            <v>2025-09</v>
          </cell>
        </row>
        <row r="145">
          <cell r="G145" t="str">
            <v>CNQ523</v>
          </cell>
          <cell r="O145" t="str">
            <v>2025-10</v>
          </cell>
        </row>
        <row r="146">
          <cell r="G146" t="str">
            <v>CNV188</v>
          </cell>
          <cell r="O146" t="str">
            <v>2025-10</v>
          </cell>
        </row>
        <row r="147">
          <cell r="G147" t="str">
            <v>CPR285</v>
          </cell>
          <cell r="O147" t="str">
            <v>2026-01</v>
          </cell>
        </row>
        <row r="148">
          <cell r="G148" t="str">
            <v>CPV131</v>
          </cell>
          <cell r="O148" t="str">
            <v>2026-01</v>
          </cell>
        </row>
        <row r="149">
          <cell r="G149" t="str">
            <v>CRA686</v>
          </cell>
          <cell r="O149" t="str">
            <v>2026-01</v>
          </cell>
        </row>
        <row r="150">
          <cell r="G150" t="str">
            <v>CRL159</v>
          </cell>
          <cell r="O150" t="str">
            <v>2026-02</v>
          </cell>
        </row>
        <row r="151">
          <cell r="G151" t="str">
            <v>CRX309</v>
          </cell>
          <cell r="O151" t="str">
            <v>2026-03</v>
          </cell>
        </row>
        <row r="152">
          <cell r="G152" t="str">
            <v>CSB471</v>
          </cell>
          <cell r="O152" t="str">
            <v>2026-04</v>
          </cell>
        </row>
        <row r="153">
          <cell r="G153" t="str">
            <v>F0V564</v>
          </cell>
          <cell r="O153" t="str">
            <v>2026-04</v>
          </cell>
        </row>
        <row r="154">
          <cell r="G154" t="str">
            <v>V0T773</v>
          </cell>
          <cell r="O154" t="str">
            <v>2025-12</v>
          </cell>
        </row>
        <row r="155">
          <cell r="G155" t="str">
            <v>V0W966</v>
          </cell>
          <cell r="O155" t="str">
            <v>2026-01</v>
          </cell>
        </row>
        <row r="156">
          <cell r="G156" t="str">
            <v>V9Y736</v>
          </cell>
          <cell r="O156" t="str">
            <v>2025-08</v>
          </cell>
        </row>
        <row r="157">
          <cell r="G157" t="str">
            <v>VAD799</v>
          </cell>
          <cell r="O157" t="str">
            <v>2026-01</v>
          </cell>
        </row>
        <row r="158">
          <cell r="G158" t="str">
            <v>VAG141</v>
          </cell>
          <cell r="O158" t="str">
            <v>2026-01</v>
          </cell>
        </row>
        <row r="159">
          <cell r="G159" t="str">
            <v>VDM713</v>
          </cell>
          <cell r="O159" t="str">
            <v>2025-08</v>
          </cell>
        </row>
        <row r="160">
          <cell r="G160" t="str">
            <v>RTA7X035</v>
          </cell>
          <cell r="O160" t="str">
            <v>2026-04</v>
          </cell>
        </row>
        <row r="161">
          <cell r="G161" t="str">
            <v>RTA8Y336</v>
          </cell>
          <cell r="O161" t="str">
            <v>2025-09</v>
          </cell>
        </row>
        <row r="162">
          <cell r="G162" t="str">
            <v>RTABC450</v>
          </cell>
          <cell r="O162" t="str">
            <v>2025-10</v>
          </cell>
        </row>
        <row r="163">
          <cell r="G163" t="str">
            <v>RTABM750</v>
          </cell>
          <cell r="O163" t="str">
            <v>2025-10</v>
          </cell>
        </row>
        <row r="164">
          <cell r="G164" t="str">
            <v>RTAEW058</v>
          </cell>
          <cell r="O164" t="str">
            <v>2025-09</v>
          </cell>
        </row>
        <row r="165">
          <cell r="G165" t="str">
            <v>RTAFD419</v>
          </cell>
          <cell r="O165" t="str">
            <v>2025-11</v>
          </cell>
        </row>
        <row r="166">
          <cell r="G166" t="str">
            <v>RTAHK114</v>
          </cell>
          <cell r="O166" t="str">
            <v>2025-10</v>
          </cell>
        </row>
        <row r="167">
          <cell r="G167" t="str">
            <v>RTAJH692</v>
          </cell>
          <cell r="O167" t="str">
            <v>2025-11</v>
          </cell>
        </row>
        <row r="168">
          <cell r="G168" t="str">
            <v>RTALU544</v>
          </cell>
          <cell r="O168" t="str">
            <v>2026-04</v>
          </cell>
        </row>
        <row r="169">
          <cell r="G169" t="str">
            <v>RTAMF689</v>
          </cell>
          <cell r="O169" t="str">
            <v>2026-05</v>
          </cell>
        </row>
        <row r="170">
          <cell r="G170" t="str">
            <v>RTAMJ069</v>
          </cell>
          <cell r="O170" t="str">
            <v>2026-02</v>
          </cell>
        </row>
        <row r="171">
          <cell r="G171" t="str">
            <v>RTAPK638</v>
          </cell>
          <cell r="O171" t="str">
            <v>2025-12</v>
          </cell>
        </row>
        <row r="172">
          <cell r="G172" t="str">
            <v>RTARA338</v>
          </cell>
          <cell r="O172" t="str">
            <v>2025-11</v>
          </cell>
        </row>
        <row r="173">
          <cell r="G173" t="str">
            <v>RTARJ611</v>
          </cell>
          <cell r="O173" t="str">
            <v>2025-09</v>
          </cell>
        </row>
        <row r="174">
          <cell r="G174" t="str">
            <v>RTASQ105</v>
          </cell>
          <cell r="O174" t="str">
            <v>2025-10</v>
          </cell>
        </row>
        <row r="175">
          <cell r="G175" t="str">
            <v>RTASR212</v>
          </cell>
          <cell r="O175" t="str">
            <v>2026-06</v>
          </cell>
        </row>
        <row r="176">
          <cell r="G176" t="str">
            <v>RTAUJ473</v>
          </cell>
          <cell r="O176" t="str">
            <v>2025-11</v>
          </cell>
        </row>
        <row r="177">
          <cell r="G177" t="str">
            <v>RTAVF388</v>
          </cell>
          <cell r="O177" t="str">
            <v>2025-10</v>
          </cell>
        </row>
        <row r="178">
          <cell r="G178" t="str">
            <v>RTAVO619</v>
          </cell>
          <cell r="O178" t="str">
            <v>2026-01</v>
          </cell>
        </row>
        <row r="179">
          <cell r="G179" t="str">
            <v>RTAWG344</v>
          </cell>
          <cell r="O179" t="str">
            <v>2025-11</v>
          </cell>
        </row>
        <row r="180">
          <cell r="G180" t="str">
            <v>RTAXR566</v>
          </cell>
          <cell r="O180" t="str">
            <v>2025-10</v>
          </cell>
        </row>
        <row r="181">
          <cell r="G181" t="str">
            <v>RTAYG528</v>
          </cell>
          <cell r="O181" t="str">
            <v>2026-06</v>
          </cell>
        </row>
        <row r="182">
          <cell r="G182" t="str">
            <v>RTBAH134</v>
          </cell>
          <cell r="O182" t="str">
            <v>2026-01</v>
          </cell>
        </row>
        <row r="183">
          <cell r="G183" t="str">
            <v>RTBAR447</v>
          </cell>
          <cell r="O183" t="str">
            <v>2026-01</v>
          </cell>
        </row>
        <row r="184">
          <cell r="G184" t="str">
            <v>RTBBI667</v>
          </cell>
          <cell r="O184" t="str">
            <v>2026-01</v>
          </cell>
        </row>
        <row r="185">
          <cell r="G185" t="str">
            <v>RTBBV268</v>
          </cell>
          <cell r="O185" t="str">
            <v>2025-12</v>
          </cell>
        </row>
        <row r="186">
          <cell r="G186" t="str">
            <v>RTBBV302</v>
          </cell>
          <cell r="O186" t="str">
            <v>2026-05</v>
          </cell>
        </row>
        <row r="187">
          <cell r="G187" t="str">
            <v>RTBCD443</v>
          </cell>
          <cell r="O187" t="str">
            <v>2026-06</v>
          </cell>
        </row>
        <row r="188">
          <cell r="G188" t="str">
            <v>RTBHC579</v>
          </cell>
          <cell r="O188" t="str">
            <v>2026-04</v>
          </cell>
        </row>
        <row r="189">
          <cell r="G189" t="str">
            <v>RTBHE849</v>
          </cell>
          <cell r="O189" t="str">
            <v>2025-08</v>
          </cell>
        </row>
        <row r="190">
          <cell r="G190" t="str">
            <v>RTBJY199</v>
          </cell>
          <cell r="O190" t="str">
            <v>2026-02</v>
          </cell>
        </row>
        <row r="191">
          <cell r="G191" t="str">
            <v>RTBKM583</v>
          </cell>
          <cell r="O191" t="str">
            <v>2026-05</v>
          </cell>
        </row>
        <row r="192">
          <cell r="G192" t="str">
            <v>RTBNO421</v>
          </cell>
          <cell r="O192" t="str">
            <v>2026-04</v>
          </cell>
        </row>
        <row r="193">
          <cell r="G193" t="str">
            <v>RTBPC047</v>
          </cell>
          <cell r="O193" t="str">
            <v>2025-09</v>
          </cell>
        </row>
        <row r="194">
          <cell r="G194" t="str">
            <v>RTBSH539</v>
          </cell>
          <cell r="O194" t="str">
            <v>2026-01</v>
          </cell>
        </row>
        <row r="195">
          <cell r="G195" t="str">
            <v>RTBTS538</v>
          </cell>
          <cell r="O195" t="str">
            <v>2026-02</v>
          </cell>
        </row>
        <row r="196">
          <cell r="G196" t="str">
            <v>RTBTT347</v>
          </cell>
          <cell r="O196" t="str">
            <v>2026-01</v>
          </cell>
        </row>
        <row r="197">
          <cell r="G197" t="str">
            <v>RTBUC221</v>
          </cell>
          <cell r="O197" t="str">
            <v>2026-03</v>
          </cell>
        </row>
        <row r="198">
          <cell r="G198" t="str">
            <v>RTBVK596</v>
          </cell>
          <cell r="O198" t="str">
            <v>2026-08</v>
          </cell>
        </row>
        <row r="199">
          <cell r="G199" t="str">
            <v>RTC3T143</v>
          </cell>
          <cell r="O199" t="str">
            <v>2026-06</v>
          </cell>
        </row>
        <row r="200">
          <cell r="G200" t="str">
            <v>RTC4S036</v>
          </cell>
          <cell r="O200" t="str">
            <v>2026-03</v>
          </cell>
        </row>
        <row r="201">
          <cell r="G201" t="str">
            <v>RTD7T046</v>
          </cell>
          <cell r="O201" t="str">
            <v>2026-03</v>
          </cell>
        </row>
        <row r="202">
          <cell r="G202" t="str">
            <v>RTF0C426</v>
          </cell>
          <cell r="O202" t="str">
            <v>2025-11</v>
          </cell>
        </row>
        <row r="203">
          <cell r="G203" t="str">
            <v>RTF0V564</v>
          </cell>
          <cell r="O203" t="str">
            <v>2025-11</v>
          </cell>
        </row>
        <row r="204">
          <cell r="G204" t="str">
            <v>RTF1A145</v>
          </cell>
          <cell r="O204" t="str">
            <v>2025-09</v>
          </cell>
        </row>
        <row r="205">
          <cell r="G205" t="str">
            <v>RTF3E033</v>
          </cell>
          <cell r="O205" t="str">
            <v>2025-11</v>
          </cell>
        </row>
        <row r="206">
          <cell r="G206" t="str">
            <v>RTF5S222</v>
          </cell>
          <cell r="O206" t="str">
            <v>2025-12</v>
          </cell>
        </row>
        <row r="207">
          <cell r="G207" t="str">
            <v>RTF9J033</v>
          </cell>
          <cell r="O207" t="str">
            <v>2026-01</v>
          </cell>
        </row>
        <row r="208">
          <cell r="G208" t="str">
            <v>RTV0T773</v>
          </cell>
          <cell r="O208" t="str">
            <v>2025-02</v>
          </cell>
        </row>
        <row r="209">
          <cell r="G209" t="str">
            <v>RTV5U541</v>
          </cell>
          <cell r="O209" t="str">
            <v>2025-10</v>
          </cell>
        </row>
        <row r="210">
          <cell r="G210" t="str">
            <v>RT7469BP</v>
          </cell>
          <cell r="O210" t="str">
            <v>2024-04</v>
          </cell>
        </row>
        <row r="211">
          <cell r="G211" t="str">
            <v>RTACY683</v>
          </cell>
          <cell r="O211" t="str">
            <v>2026-01</v>
          </cell>
        </row>
        <row r="212">
          <cell r="G212" t="str">
            <v>RTAEO585</v>
          </cell>
          <cell r="O212" t="str">
            <v>2026-02</v>
          </cell>
        </row>
        <row r="213">
          <cell r="G213" t="str">
            <v>RTAPA766</v>
          </cell>
          <cell r="O213" t="str">
            <v>2026-02</v>
          </cell>
        </row>
        <row r="214">
          <cell r="G214" t="str">
            <v>RTAVE933</v>
          </cell>
          <cell r="O214" t="str">
            <v>2025-10</v>
          </cell>
        </row>
        <row r="215">
          <cell r="G215" t="str">
            <v>RTAWE566</v>
          </cell>
          <cell r="O215" t="str">
            <v>2025-11</v>
          </cell>
        </row>
        <row r="216">
          <cell r="G216" t="str">
            <v>RTAXV885</v>
          </cell>
          <cell r="O216" t="str">
            <v>2025-09</v>
          </cell>
        </row>
        <row r="217">
          <cell r="G217" t="str">
            <v>RTBBE300</v>
          </cell>
          <cell r="O217" t="str">
            <v>2025-12</v>
          </cell>
        </row>
        <row r="218">
          <cell r="G218" t="str">
            <v>RTBBO589</v>
          </cell>
          <cell r="O218" t="str">
            <v>2026-02</v>
          </cell>
        </row>
        <row r="219">
          <cell r="G219" t="str">
            <v>RTBBS568</v>
          </cell>
          <cell r="O219" t="str">
            <v>2026-02</v>
          </cell>
        </row>
        <row r="220">
          <cell r="G220" t="str">
            <v>RTBBW672</v>
          </cell>
          <cell r="O220" t="str">
            <v>2026-05</v>
          </cell>
        </row>
        <row r="221">
          <cell r="G221" t="str">
            <v>RTBDQ617</v>
          </cell>
          <cell r="O221" t="str">
            <v>2026-05</v>
          </cell>
        </row>
        <row r="222">
          <cell r="G222" t="str">
            <v>RTBNR916</v>
          </cell>
          <cell r="O222" t="str">
            <v>2026-03</v>
          </cell>
        </row>
        <row r="223">
          <cell r="G223" t="str">
            <v>RTBXU156</v>
          </cell>
          <cell r="O223" t="str">
            <v>2025-09</v>
          </cell>
        </row>
        <row r="224">
          <cell r="G224" t="str">
            <v>RTCAH845</v>
          </cell>
          <cell r="O224" t="str">
            <v>2025-04</v>
          </cell>
        </row>
        <row r="225">
          <cell r="G225" t="str">
            <v>RTCAY209</v>
          </cell>
          <cell r="O225" t="str">
            <v>2025-10</v>
          </cell>
        </row>
        <row r="226">
          <cell r="G226" t="str">
            <v>RTCDC845</v>
          </cell>
          <cell r="O226" t="str">
            <v>2026-05</v>
          </cell>
        </row>
        <row r="227">
          <cell r="G227" t="str">
            <v>RTCDC918</v>
          </cell>
          <cell r="O227" t="str">
            <v>2026-05</v>
          </cell>
        </row>
        <row r="228">
          <cell r="G228" t="str">
            <v>RTF8E025</v>
          </cell>
          <cell r="O228" t="str">
            <v>2026-03</v>
          </cell>
        </row>
        <row r="229">
          <cell r="G229" t="str">
            <v>RTP4J936</v>
          </cell>
          <cell r="O229" t="str">
            <v>2026-03</v>
          </cell>
        </row>
        <row r="230">
          <cell r="G230" t="str">
            <v>RTP4L932</v>
          </cell>
          <cell r="O230" t="str">
            <v>2026-06</v>
          </cell>
        </row>
        <row r="231">
          <cell r="G231" t="str">
            <v>RTTCO813</v>
          </cell>
          <cell r="O231" t="str">
            <v>2026-06</v>
          </cell>
        </row>
        <row r="232">
          <cell r="G232" t="str">
            <v>AJI271</v>
          </cell>
          <cell r="O232" t="str">
            <v>2026-07</v>
          </cell>
        </row>
        <row r="233">
          <cell r="G233" t="str">
            <v>ARJ611</v>
          </cell>
          <cell r="O233" t="str">
            <v>2026-06</v>
          </cell>
        </row>
        <row r="234">
          <cell r="G234" t="str">
            <v>AXV885</v>
          </cell>
          <cell r="O234" t="str">
            <v>2025-09</v>
          </cell>
        </row>
        <row r="235">
          <cell r="G235" t="str">
            <v>BAR447</v>
          </cell>
          <cell r="O235" t="str">
            <v>2025-12</v>
          </cell>
        </row>
        <row r="236">
          <cell r="G236" t="str">
            <v>BBS568</v>
          </cell>
          <cell r="O236" t="str">
            <v>2026-03</v>
          </cell>
        </row>
        <row r="237">
          <cell r="G237" t="str">
            <v>BBV302</v>
          </cell>
          <cell r="O237" t="str">
            <v>2026-03</v>
          </cell>
        </row>
        <row r="238">
          <cell r="G238" t="str">
            <v>BEF568</v>
          </cell>
          <cell r="O238" t="str">
            <v>2025-08</v>
          </cell>
        </row>
        <row r="239">
          <cell r="G239" t="str">
            <v>BEF674</v>
          </cell>
          <cell r="O239" t="str">
            <v>2025-09</v>
          </cell>
        </row>
        <row r="240">
          <cell r="G240" t="str">
            <v>BLG254</v>
          </cell>
          <cell r="O240" t="str">
            <v>2026-07</v>
          </cell>
        </row>
        <row r="241">
          <cell r="G241" t="str">
            <v>BSH470</v>
          </cell>
          <cell r="O241" t="str">
            <v>2025-10</v>
          </cell>
        </row>
        <row r="242">
          <cell r="G242" t="str">
            <v>BXF438</v>
          </cell>
          <cell r="O242" t="str">
            <v>2025-11</v>
          </cell>
        </row>
        <row r="243">
          <cell r="G243" t="str">
            <v>CNE645</v>
          </cell>
          <cell r="O243" t="str">
            <v>2025-09</v>
          </cell>
        </row>
        <row r="244">
          <cell r="G244" t="str">
            <v>CNO310</v>
          </cell>
          <cell r="O244" t="str">
            <v>2025-10</v>
          </cell>
        </row>
        <row r="245">
          <cell r="G245" t="str">
            <v>CPZ425</v>
          </cell>
          <cell r="O245" t="str">
            <v>2026-01</v>
          </cell>
        </row>
        <row r="246">
          <cell r="G246" t="str">
            <v>F8E025</v>
          </cell>
          <cell r="O246" t="str">
            <v>2026-06</v>
          </cell>
        </row>
        <row r="247">
          <cell r="G247" t="str">
            <v>VBN954</v>
          </cell>
          <cell r="O247" t="str">
            <v>2025-09</v>
          </cell>
        </row>
        <row r="248">
          <cell r="G248" t="str">
            <v>RTBBJ506</v>
          </cell>
          <cell r="O248" t="str">
            <v>2025-09</v>
          </cell>
        </row>
        <row r="249">
          <cell r="G249" t="str">
            <v>RTBNK219</v>
          </cell>
          <cell r="O249" t="str">
            <v>2025-11</v>
          </cell>
        </row>
        <row r="250">
          <cell r="G250" t="str">
            <v>RTBNS029</v>
          </cell>
          <cell r="O250" t="str">
            <v>2025-11</v>
          </cell>
        </row>
        <row r="251">
          <cell r="G251" t="str">
            <v>RTBPG911</v>
          </cell>
          <cell r="O251" t="str">
            <v>2026-04</v>
          </cell>
        </row>
        <row r="252">
          <cell r="G252" t="str">
            <v>RTBSS678</v>
          </cell>
          <cell r="O252" t="str">
            <v>2025-09</v>
          </cell>
        </row>
        <row r="253">
          <cell r="G253" t="str">
            <v>RTBTZ314</v>
          </cell>
          <cell r="O253" t="str">
            <v>2026-06</v>
          </cell>
        </row>
        <row r="254">
          <cell r="G254" t="str">
            <v>RTBUC501</v>
          </cell>
          <cell r="O254" t="str">
            <v>2026-04</v>
          </cell>
        </row>
        <row r="255">
          <cell r="G255" t="str">
            <v>RTBUZ586</v>
          </cell>
          <cell r="O255" t="str">
            <v>2025-09</v>
          </cell>
        </row>
        <row r="256">
          <cell r="G256" t="str">
            <v>RTCEQ392</v>
          </cell>
          <cell r="O256" t="str">
            <v>2025-12</v>
          </cell>
        </row>
        <row r="257">
          <cell r="G257" t="str">
            <v>RTCQN812</v>
          </cell>
          <cell r="O257" t="str">
            <v>2023-03</v>
          </cell>
        </row>
        <row r="258">
          <cell r="G258">
            <v>15410441</v>
          </cell>
          <cell r="O258" t="str">
            <v>2026-01</v>
          </cell>
        </row>
        <row r="259">
          <cell r="G259">
            <v>15410441</v>
          </cell>
          <cell r="O259" t="str">
            <v>2026-01</v>
          </cell>
        </row>
        <row r="260">
          <cell r="G260">
            <v>15410441</v>
          </cell>
          <cell r="O260" t="str">
            <v>2026-01</v>
          </cell>
        </row>
        <row r="261">
          <cell r="G261">
            <v>15410441</v>
          </cell>
          <cell r="O261" t="str">
            <v>2026-01</v>
          </cell>
        </row>
        <row r="262">
          <cell r="G262">
            <v>15410441</v>
          </cell>
          <cell r="O262" t="str">
            <v>2026-01</v>
          </cell>
        </row>
        <row r="263">
          <cell r="G263">
            <v>15410441</v>
          </cell>
          <cell r="O263" t="str">
            <v>2026-01</v>
          </cell>
        </row>
        <row r="264">
          <cell r="G264">
            <v>15410441</v>
          </cell>
          <cell r="O264" t="str">
            <v>2026-01</v>
          </cell>
        </row>
        <row r="265">
          <cell r="G265">
            <v>15410441</v>
          </cell>
          <cell r="O265" t="str">
            <v>2026-01</v>
          </cell>
        </row>
        <row r="266">
          <cell r="G266">
            <v>15410441</v>
          </cell>
          <cell r="O266" t="str">
            <v>2026-01</v>
          </cell>
        </row>
        <row r="267">
          <cell r="G267">
            <v>15410441</v>
          </cell>
          <cell r="O267" t="str">
            <v>2026-01</v>
          </cell>
        </row>
        <row r="268">
          <cell r="G268">
            <v>15410441</v>
          </cell>
          <cell r="O268" t="str">
            <v>2026-01</v>
          </cell>
        </row>
        <row r="269">
          <cell r="G269">
            <v>15410441</v>
          </cell>
          <cell r="O269" t="str">
            <v>2026-01</v>
          </cell>
        </row>
        <row r="270">
          <cell r="G270">
            <v>15410441</v>
          </cell>
          <cell r="O270" t="str">
            <v>2026-01</v>
          </cell>
        </row>
        <row r="271">
          <cell r="G271">
            <v>15410441</v>
          </cell>
          <cell r="O271" t="str">
            <v>2026-01</v>
          </cell>
        </row>
        <row r="272">
          <cell r="G272">
            <v>15410441</v>
          </cell>
          <cell r="O272" t="str">
            <v>2026-01</v>
          </cell>
        </row>
        <row r="273">
          <cell r="G273">
            <v>15410441</v>
          </cell>
          <cell r="O273" t="str">
            <v>2026-01</v>
          </cell>
        </row>
        <row r="274">
          <cell r="G274">
            <v>15410441</v>
          </cell>
          <cell r="O274" t="str">
            <v>2026-01</v>
          </cell>
        </row>
        <row r="275">
          <cell r="G275">
            <v>15410441</v>
          </cell>
          <cell r="O275" t="str">
            <v>2026-01</v>
          </cell>
        </row>
        <row r="276">
          <cell r="G276">
            <v>15410441</v>
          </cell>
          <cell r="O276" t="str">
            <v>2026-01</v>
          </cell>
        </row>
        <row r="277">
          <cell r="G277">
            <v>15410441</v>
          </cell>
          <cell r="O277" t="str">
            <v>2026-01</v>
          </cell>
        </row>
        <row r="278">
          <cell r="G278">
            <v>15410441</v>
          </cell>
          <cell r="O278" t="str">
            <v>2026-01</v>
          </cell>
        </row>
        <row r="279">
          <cell r="G279">
            <v>15410441</v>
          </cell>
          <cell r="O279" t="str">
            <v>2026-01</v>
          </cell>
        </row>
        <row r="280">
          <cell r="G280">
            <v>15410441</v>
          </cell>
          <cell r="O280" t="str">
            <v>2026-01</v>
          </cell>
        </row>
        <row r="281">
          <cell r="G281">
            <v>15410441</v>
          </cell>
          <cell r="O281" t="str">
            <v>2026-01</v>
          </cell>
        </row>
        <row r="282">
          <cell r="G282">
            <v>15410441</v>
          </cell>
          <cell r="O282" t="str">
            <v>2026-01</v>
          </cell>
        </row>
        <row r="283">
          <cell r="G283">
            <v>15410441</v>
          </cell>
          <cell r="O283" t="str">
            <v>2026-01</v>
          </cell>
        </row>
        <row r="284">
          <cell r="G284">
            <v>15410441</v>
          </cell>
          <cell r="O284" t="str">
            <v>2026-01</v>
          </cell>
        </row>
        <row r="285">
          <cell r="G285">
            <v>15410441</v>
          </cell>
          <cell r="O285" t="str">
            <v>2026-01</v>
          </cell>
        </row>
        <row r="286">
          <cell r="G286">
            <v>15410441</v>
          </cell>
          <cell r="O286" t="str">
            <v>2026-01</v>
          </cell>
        </row>
        <row r="287">
          <cell r="G287">
            <v>15410441</v>
          </cell>
          <cell r="O287" t="str">
            <v>2026-01</v>
          </cell>
        </row>
        <row r="288">
          <cell r="G288">
            <v>15410441</v>
          </cell>
          <cell r="O288" t="str">
            <v>2026-01</v>
          </cell>
        </row>
        <row r="289">
          <cell r="G289">
            <v>15410441</v>
          </cell>
          <cell r="O289" t="str">
            <v>2026-01</v>
          </cell>
        </row>
        <row r="290">
          <cell r="G290">
            <v>15410441</v>
          </cell>
          <cell r="O290" t="str">
            <v>2026-01</v>
          </cell>
        </row>
        <row r="291">
          <cell r="G291">
            <v>15410441</v>
          </cell>
          <cell r="O291" t="str">
            <v>2026-01</v>
          </cell>
        </row>
        <row r="292">
          <cell r="G292">
            <v>2008798022</v>
          </cell>
          <cell r="O292" t="str">
            <v>2026-09</v>
          </cell>
        </row>
        <row r="293">
          <cell r="G293">
            <v>2008848013</v>
          </cell>
          <cell r="O293" t="str">
            <v>2026-07</v>
          </cell>
        </row>
        <row r="294">
          <cell r="G294">
            <v>2008848013</v>
          </cell>
          <cell r="O294" t="str">
            <v>2026-07</v>
          </cell>
        </row>
        <row r="295">
          <cell r="G295">
            <v>2008848013</v>
          </cell>
          <cell r="O295" t="str">
            <v>2026-07</v>
          </cell>
        </row>
        <row r="296">
          <cell r="G296">
            <v>2009005158</v>
          </cell>
          <cell r="O296" t="str">
            <v>2025-11</v>
          </cell>
        </row>
        <row r="297">
          <cell r="G297">
            <v>2009005158</v>
          </cell>
          <cell r="O297" t="str">
            <v>2025-11</v>
          </cell>
        </row>
        <row r="298">
          <cell r="G298">
            <v>220018423</v>
          </cell>
          <cell r="O298" t="str">
            <v>2025-11</v>
          </cell>
        </row>
        <row r="299">
          <cell r="G299">
            <v>220018423</v>
          </cell>
          <cell r="O299" t="str">
            <v>2025-11</v>
          </cell>
        </row>
        <row r="300">
          <cell r="G300">
            <v>1581063</v>
          </cell>
          <cell r="O300" t="str">
            <v>2025-10</v>
          </cell>
        </row>
        <row r="301">
          <cell r="G301">
            <v>1358493</v>
          </cell>
          <cell r="O301" t="str">
            <v>2026-05</v>
          </cell>
        </row>
        <row r="302">
          <cell r="G302">
            <v>1358493</v>
          </cell>
          <cell r="O302" t="str">
            <v>2026-05</v>
          </cell>
        </row>
        <row r="303">
          <cell r="G303">
            <v>1358493</v>
          </cell>
          <cell r="O303" t="str">
            <v>2026-05</v>
          </cell>
        </row>
        <row r="304">
          <cell r="G304">
            <v>1358493</v>
          </cell>
          <cell r="O304" t="str">
            <v>2026-05</v>
          </cell>
        </row>
        <row r="305">
          <cell r="G305">
            <v>1453174</v>
          </cell>
          <cell r="O305" t="str">
            <v>2026-06</v>
          </cell>
        </row>
        <row r="306">
          <cell r="G306">
            <v>1453174</v>
          </cell>
          <cell r="O306" t="str">
            <v>2026-06</v>
          </cell>
        </row>
        <row r="307">
          <cell r="G307">
            <v>1453174</v>
          </cell>
          <cell r="O307" t="str">
            <v>2026-06</v>
          </cell>
        </row>
        <row r="308">
          <cell r="G308">
            <v>1475937</v>
          </cell>
          <cell r="O308" t="str">
            <v>2025-12</v>
          </cell>
        </row>
        <row r="309">
          <cell r="G309">
            <v>1478033</v>
          </cell>
          <cell r="O309" t="str">
            <v>2025-11</v>
          </cell>
        </row>
        <row r="310">
          <cell r="G310">
            <v>1478033</v>
          </cell>
          <cell r="O310" t="str">
            <v>2025-11</v>
          </cell>
        </row>
        <row r="311">
          <cell r="G311">
            <v>1478033</v>
          </cell>
          <cell r="O311" t="str">
            <v>2025-11</v>
          </cell>
        </row>
        <row r="312">
          <cell r="G312">
            <v>1484085</v>
          </cell>
          <cell r="O312" t="str">
            <v>2025-12</v>
          </cell>
        </row>
        <row r="313">
          <cell r="G313">
            <v>1484085</v>
          </cell>
          <cell r="O313" t="str">
            <v>2025-12</v>
          </cell>
        </row>
        <row r="314">
          <cell r="G314">
            <v>1484085</v>
          </cell>
          <cell r="O314" t="str">
            <v>2025-12</v>
          </cell>
        </row>
        <row r="315">
          <cell r="G315">
            <v>1484085</v>
          </cell>
          <cell r="O315" t="str">
            <v>2025-12</v>
          </cell>
        </row>
        <row r="316">
          <cell r="G316">
            <v>1484085</v>
          </cell>
          <cell r="O316" t="str">
            <v>2025-12</v>
          </cell>
        </row>
        <row r="317">
          <cell r="G317">
            <v>1484085</v>
          </cell>
          <cell r="O317" t="str">
            <v>2025-12</v>
          </cell>
        </row>
        <row r="318">
          <cell r="G318">
            <v>1484085</v>
          </cell>
          <cell r="O318" t="str">
            <v>2025-12</v>
          </cell>
        </row>
        <row r="319">
          <cell r="G319">
            <v>1484085</v>
          </cell>
          <cell r="O319" t="str">
            <v>2025-12</v>
          </cell>
        </row>
        <row r="320">
          <cell r="G320">
            <v>1484085</v>
          </cell>
          <cell r="O320" t="str">
            <v>2025-12</v>
          </cell>
        </row>
        <row r="321">
          <cell r="G321">
            <v>1484085</v>
          </cell>
          <cell r="O321" t="str">
            <v>2025-12</v>
          </cell>
        </row>
        <row r="322">
          <cell r="G322">
            <v>1484085</v>
          </cell>
          <cell r="O322" t="str">
            <v>2025-12</v>
          </cell>
        </row>
        <row r="323">
          <cell r="G323">
            <v>1484085</v>
          </cell>
          <cell r="O323" t="str">
            <v>2025-12</v>
          </cell>
        </row>
        <row r="324">
          <cell r="G324">
            <v>1484085</v>
          </cell>
          <cell r="O324" t="str">
            <v>2025-12</v>
          </cell>
        </row>
        <row r="325">
          <cell r="G325">
            <v>1484085</v>
          </cell>
          <cell r="O325" t="str">
            <v>2025-12</v>
          </cell>
        </row>
        <row r="326">
          <cell r="G326">
            <v>1484085</v>
          </cell>
          <cell r="O326" t="str">
            <v>2025-12</v>
          </cell>
        </row>
        <row r="327">
          <cell r="G327">
            <v>1484085</v>
          </cell>
          <cell r="O327" t="str">
            <v>2025-12</v>
          </cell>
        </row>
        <row r="328">
          <cell r="G328">
            <v>1484085</v>
          </cell>
          <cell r="O328" t="str">
            <v>2025-12</v>
          </cell>
        </row>
        <row r="329">
          <cell r="G329">
            <v>1484085</v>
          </cell>
          <cell r="O329" t="str">
            <v>2025-12</v>
          </cell>
        </row>
        <row r="330">
          <cell r="G330">
            <v>1484085</v>
          </cell>
          <cell r="O330" t="str">
            <v>2025-12</v>
          </cell>
        </row>
        <row r="331">
          <cell r="G331">
            <v>1484085</v>
          </cell>
          <cell r="O331" t="str">
            <v>2025-12</v>
          </cell>
        </row>
        <row r="332">
          <cell r="G332">
            <v>1484085</v>
          </cell>
          <cell r="O332" t="str">
            <v>2025-12</v>
          </cell>
        </row>
        <row r="333">
          <cell r="G333">
            <v>1484085</v>
          </cell>
          <cell r="O333" t="str">
            <v>2025-12</v>
          </cell>
        </row>
        <row r="334">
          <cell r="G334">
            <v>1484085</v>
          </cell>
          <cell r="O334" t="str">
            <v>2025-12</v>
          </cell>
        </row>
        <row r="335">
          <cell r="G335">
            <v>1484085</v>
          </cell>
          <cell r="O335" t="str">
            <v>2025-12</v>
          </cell>
        </row>
        <row r="336">
          <cell r="G336">
            <v>1484085</v>
          </cell>
          <cell r="O336" t="str">
            <v>2025-12</v>
          </cell>
        </row>
        <row r="337">
          <cell r="G337">
            <v>1484085</v>
          </cell>
          <cell r="O337" t="str">
            <v>2025-12</v>
          </cell>
        </row>
        <row r="338">
          <cell r="G338">
            <v>1484085</v>
          </cell>
          <cell r="O338" t="str">
            <v>2025-12</v>
          </cell>
        </row>
        <row r="339">
          <cell r="G339">
            <v>1484085</v>
          </cell>
          <cell r="O339" t="str">
            <v>2025-12</v>
          </cell>
        </row>
        <row r="340">
          <cell r="G340">
            <v>1489353</v>
          </cell>
          <cell r="O340" t="str">
            <v>2025-12</v>
          </cell>
        </row>
        <row r="341">
          <cell r="G341">
            <v>1489353</v>
          </cell>
          <cell r="O341" t="str">
            <v>2025-12</v>
          </cell>
        </row>
        <row r="342">
          <cell r="G342">
            <v>1489353</v>
          </cell>
          <cell r="O342" t="str">
            <v>2025-12</v>
          </cell>
        </row>
        <row r="343">
          <cell r="G343">
            <v>1489353</v>
          </cell>
          <cell r="O343" t="str">
            <v>2025-12</v>
          </cell>
        </row>
        <row r="344">
          <cell r="G344">
            <v>1489353</v>
          </cell>
          <cell r="O344" t="str">
            <v>2025-12</v>
          </cell>
        </row>
        <row r="345">
          <cell r="G345">
            <v>1489353</v>
          </cell>
          <cell r="O345" t="str">
            <v>2025-12</v>
          </cell>
        </row>
        <row r="346">
          <cell r="G346">
            <v>1489353</v>
          </cell>
          <cell r="O346" t="str">
            <v>2025-12</v>
          </cell>
        </row>
        <row r="347">
          <cell r="G347">
            <v>1489353</v>
          </cell>
          <cell r="O347" t="str">
            <v>2025-12</v>
          </cell>
        </row>
        <row r="348">
          <cell r="G348">
            <v>1494309</v>
          </cell>
          <cell r="O348" t="str">
            <v>2025-12</v>
          </cell>
        </row>
        <row r="349">
          <cell r="G349">
            <v>1494309</v>
          </cell>
          <cell r="O349" t="str">
            <v>2025-12</v>
          </cell>
        </row>
        <row r="350">
          <cell r="G350">
            <v>1494309</v>
          </cell>
          <cell r="O350" t="str">
            <v>2025-12</v>
          </cell>
        </row>
        <row r="351">
          <cell r="G351">
            <v>1494309</v>
          </cell>
          <cell r="O351" t="str">
            <v>2025-12</v>
          </cell>
        </row>
        <row r="352">
          <cell r="G352">
            <v>1504535</v>
          </cell>
          <cell r="O352" t="str">
            <v>2026-02</v>
          </cell>
        </row>
        <row r="353">
          <cell r="G353">
            <v>1504535</v>
          </cell>
          <cell r="O353" t="str">
            <v>2026-02</v>
          </cell>
        </row>
        <row r="354">
          <cell r="G354">
            <v>1504535</v>
          </cell>
          <cell r="O354" t="str">
            <v>2026-02</v>
          </cell>
        </row>
        <row r="355">
          <cell r="G355">
            <v>1504535</v>
          </cell>
          <cell r="O355" t="str">
            <v>2026-02</v>
          </cell>
        </row>
        <row r="356">
          <cell r="G356">
            <v>1504535</v>
          </cell>
          <cell r="O356" t="str">
            <v>2026-02</v>
          </cell>
        </row>
        <row r="357">
          <cell r="G357">
            <v>1504535</v>
          </cell>
          <cell r="O357" t="str">
            <v>2026-02</v>
          </cell>
        </row>
        <row r="358">
          <cell r="G358">
            <v>1504535</v>
          </cell>
          <cell r="O358" t="str">
            <v>2026-02</v>
          </cell>
        </row>
        <row r="359">
          <cell r="G359">
            <v>1504535</v>
          </cell>
          <cell r="O359" t="str">
            <v>2026-02</v>
          </cell>
        </row>
        <row r="360">
          <cell r="G360">
            <v>1504535</v>
          </cell>
          <cell r="O360" t="str">
            <v>2026-02</v>
          </cell>
        </row>
        <row r="361">
          <cell r="G361">
            <v>1504535</v>
          </cell>
          <cell r="O361" t="str">
            <v>2026-02</v>
          </cell>
        </row>
        <row r="362">
          <cell r="G362">
            <v>1509821</v>
          </cell>
          <cell r="O362" t="str">
            <v>2026-04</v>
          </cell>
        </row>
        <row r="363">
          <cell r="G363">
            <v>1509821</v>
          </cell>
          <cell r="O363" t="str">
            <v>2026-04</v>
          </cell>
        </row>
        <row r="364">
          <cell r="G364">
            <v>1509899</v>
          </cell>
          <cell r="O364" t="str">
            <v>2026-04</v>
          </cell>
        </row>
        <row r="365">
          <cell r="G365">
            <v>1509985</v>
          </cell>
          <cell r="O365" t="str">
            <v>2026-04</v>
          </cell>
        </row>
        <row r="366">
          <cell r="G366">
            <v>1509985</v>
          </cell>
          <cell r="O366" t="str">
            <v>2026-04</v>
          </cell>
        </row>
        <row r="367">
          <cell r="G367">
            <v>1512436</v>
          </cell>
          <cell r="O367" t="str">
            <v>2026-04</v>
          </cell>
        </row>
        <row r="368">
          <cell r="G368">
            <v>1512436</v>
          </cell>
          <cell r="O368" t="str">
            <v>2026-04</v>
          </cell>
        </row>
        <row r="369">
          <cell r="G369">
            <v>1512436</v>
          </cell>
          <cell r="O369" t="str">
            <v>2026-04</v>
          </cell>
        </row>
        <row r="370">
          <cell r="G370">
            <v>1512436</v>
          </cell>
          <cell r="O370" t="str">
            <v>2026-04</v>
          </cell>
        </row>
        <row r="371">
          <cell r="G371">
            <v>1512436</v>
          </cell>
          <cell r="O371" t="str">
            <v>2026-04</v>
          </cell>
        </row>
        <row r="372">
          <cell r="G372">
            <v>1512436</v>
          </cell>
          <cell r="O372" t="str">
            <v>2026-04</v>
          </cell>
        </row>
        <row r="373">
          <cell r="G373">
            <v>1512436</v>
          </cell>
          <cell r="O373" t="str">
            <v>2026-04</v>
          </cell>
        </row>
        <row r="374">
          <cell r="G374">
            <v>1512436</v>
          </cell>
          <cell r="O374" t="str">
            <v>2026-04</v>
          </cell>
        </row>
        <row r="375">
          <cell r="G375">
            <v>1512436</v>
          </cell>
          <cell r="O375" t="str">
            <v>2026-04</v>
          </cell>
        </row>
        <row r="376">
          <cell r="G376">
            <v>70192914</v>
          </cell>
          <cell r="O376" t="str">
            <v>2025-11</v>
          </cell>
        </row>
        <row r="377">
          <cell r="G377">
            <v>70199921</v>
          </cell>
          <cell r="O377" t="str">
            <v>2025-12</v>
          </cell>
        </row>
        <row r="378">
          <cell r="G378">
            <v>70199921</v>
          </cell>
          <cell r="O378" t="str">
            <v>2025-12</v>
          </cell>
        </row>
        <row r="379">
          <cell r="G379">
            <v>70199921</v>
          </cell>
          <cell r="O379" t="str">
            <v>2025-12</v>
          </cell>
        </row>
        <row r="380">
          <cell r="G380">
            <v>70227905</v>
          </cell>
          <cell r="O380" t="str">
            <v>2026-06</v>
          </cell>
        </row>
        <row r="381">
          <cell r="G381">
            <v>70227905</v>
          </cell>
          <cell r="O381" t="str">
            <v>2026-06</v>
          </cell>
        </row>
        <row r="382">
          <cell r="G382">
            <v>70227905</v>
          </cell>
          <cell r="O382" t="str">
            <v>2026-06</v>
          </cell>
        </row>
        <row r="383">
          <cell r="G383">
            <v>70230672</v>
          </cell>
          <cell r="O383" t="str">
            <v>2026-07</v>
          </cell>
        </row>
        <row r="384">
          <cell r="G384">
            <v>70230672</v>
          </cell>
          <cell r="O384" t="str">
            <v>2026-07</v>
          </cell>
        </row>
        <row r="385">
          <cell r="G385">
            <v>70230672</v>
          </cell>
          <cell r="O385" t="str">
            <v>2026-07</v>
          </cell>
        </row>
        <row r="386">
          <cell r="G386">
            <v>70230672</v>
          </cell>
          <cell r="O386" t="str">
            <v>2026-07</v>
          </cell>
        </row>
        <row r="387">
          <cell r="G387">
            <v>70230672</v>
          </cell>
          <cell r="O387" t="str">
            <v>2026-07</v>
          </cell>
        </row>
        <row r="388">
          <cell r="G388">
            <v>70230672</v>
          </cell>
          <cell r="O388" t="str">
            <v>2026-07</v>
          </cell>
        </row>
        <row r="389">
          <cell r="G389">
            <v>70230672</v>
          </cell>
          <cell r="O389" t="str">
            <v>2026-07</v>
          </cell>
        </row>
        <row r="390">
          <cell r="G390">
            <v>70230672</v>
          </cell>
          <cell r="O390" t="str">
            <v>2026-07</v>
          </cell>
        </row>
        <row r="391">
          <cell r="G391">
            <v>70230672</v>
          </cell>
          <cell r="O391" t="str">
            <v>2026-07</v>
          </cell>
        </row>
        <row r="392">
          <cell r="G392">
            <v>70230672</v>
          </cell>
          <cell r="O392" t="str">
            <v>2026-07</v>
          </cell>
        </row>
        <row r="393">
          <cell r="G393">
            <v>70230672</v>
          </cell>
          <cell r="O393" t="str">
            <v>2026-07</v>
          </cell>
        </row>
        <row r="394">
          <cell r="G394">
            <v>70230672</v>
          </cell>
          <cell r="O394" t="str">
            <v>2026-07</v>
          </cell>
        </row>
        <row r="395">
          <cell r="G395">
            <v>70230672</v>
          </cell>
          <cell r="O395" t="str">
            <v>2026-07</v>
          </cell>
        </row>
        <row r="396">
          <cell r="G396">
            <v>70230672</v>
          </cell>
          <cell r="O396" t="str">
            <v>2026-07</v>
          </cell>
        </row>
        <row r="397">
          <cell r="G397">
            <v>70230672</v>
          </cell>
          <cell r="O397" t="str">
            <v>2026-07</v>
          </cell>
        </row>
        <row r="398">
          <cell r="G398">
            <v>70230672</v>
          </cell>
          <cell r="O398" t="str">
            <v>2026-07</v>
          </cell>
        </row>
        <row r="399">
          <cell r="G399">
            <v>70230672</v>
          </cell>
          <cell r="O399" t="str">
            <v>2026-07</v>
          </cell>
        </row>
        <row r="400">
          <cell r="G400">
            <v>70230672</v>
          </cell>
          <cell r="O400" t="str">
            <v>2026-07</v>
          </cell>
        </row>
        <row r="401">
          <cell r="G401">
            <v>70248432</v>
          </cell>
          <cell r="O401" t="str">
            <v>2025-10</v>
          </cell>
        </row>
        <row r="402">
          <cell r="G402">
            <v>70248432</v>
          </cell>
          <cell r="O402" t="str">
            <v>2025-10</v>
          </cell>
        </row>
        <row r="403">
          <cell r="G403">
            <v>70248432</v>
          </cell>
          <cell r="O403" t="str">
            <v>2025-10</v>
          </cell>
        </row>
        <row r="404">
          <cell r="G404">
            <v>70248432</v>
          </cell>
          <cell r="O404" t="str">
            <v>2025-10</v>
          </cell>
        </row>
        <row r="405">
          <cell r="G405">
            <v>102397614</v>
          </cell>
          <cell r="O405" t="str">
            <v>2026-02</v>
          </cell>
        </row>
        <row r="406">
          <cell r="G406">
            <v>407171</v>
          </cell>
          <cell r="O406" t="str">
            <v>2025-12</v>
          </cell>
        </row>
        <row r="407">
          <cell r="G407" t="str">
            <v>9494CC</v>
          </cell>
          <cell r="O407" t="str">
            <v>2025-10</v>
          </cell>
        </row>
        <row r="408">
          <cell r="G408" t="str">
            <v>A4O154</v>
          </cell>
          <cell r="O408" t="str">
            <v>2025-09</v>
          </cell>
        </row>
        <row r="409">
          <cell r="G409" t="str">
            <v>AAX044</v>
          </cell>
          <cell r="O409" t="str">
            <v>2025-10</v>
          </cell>
        </row>
        <row r="410">
          <cell r="G410" t="str">
            <v>ABW671</v>
          </cell>
          <cell r="O410" t="str">
            <v>2025-07</v>
          </cell>
        </row>
        <row r="411">
          <cell r="G411" t="str">
            <v>ACG021</v>
          </cell>
          <cell r="O411" t="str">
            <v>2025-11</v>
          </cell>
        </row>
        <row r="412">
          <cell r="G412" t="str">
            <v>AFU265</v>
          </cell>
          <cell r="O412" t="str">
            <v>2026-07</v>
          </cell>
        </row>
        <row r="413">
          <cell r="G413" t="str">
            <v>AKO211</v>
          </cell>
          <cell r="O413" t="str">
            <v>2025-11</v>
          </cell>
        </row>
        <row r="414">
          <cell r="G414" t="str">
            <v>AYH275</v>
          </cell>
          <cell r="O414" t="str">
            <v>2025-11</v>
          </cell>
        </row>
        <row r="415">
          <cell r="G415" t="str">
            <v>AZM410</v>
          </cell>
          <cell r="O415" t="str">
            <v>2025-11</v>
          </cell>
        </row>
        <row r="416">
          <cell r="G416" t="str">
            <v>B4F050</v>
          </cell>
          <cell r="O416" t="str">
            <v>2025-09</v>
          </cell>
        </row>
        <row r="417">
          <cell r="G417" t="str">
            <v>B7L283</v>
          </cell>
          <cell r="O417" t="str">
            <v>2025-11</v>
          </cell>
        </row>
        <row r="418">
          <cell r="G418" t="str">
            <v>BHD533</v>
          </cell>
          <cell r="O418" t="str">
            <v>2025-11</v>
          </cell>
        </row>
        <row r="419">
          <cell r="G419" t="str">
            <v>BLW607</v>
          </cell>
          <cell r="O419" t="str">
            <v>2025-09</v>
          </cell>
        </row>
        <row r="420">
          <cell r="G420" t="str">
            <v>BRP084</v>
          </cell>
          <cell r="O420" t="str">
            <v>2025-08</v>
          </cell>
        </row>
        <row r="421">
          <cell r="G421" t="str">
            <v>BRV373</v>
          </cell>
          <cell r="O421" t="str">
            <v>2025-10</v>
          </cell>
        </row>
        <row r="422">
          <cell r="G422" t="str">
            <v>BVR283</v>
          </cell>
          <cell r="O422" t="str">
            <v>2025-09</v>
          </cell>
        </row>
        <row r="423">
          <cell r="G423" t="str">
            <v>BVY386</v>
          </cell>
          <cell r="O423" t="str">
            <v>2025-09</v>
          </cell>
        </row>
        <row r="424">
          <cell r="G424" t="str">
            <v>C0I113</v>
          </cell>
          <cell r="O424" t="str">
            <v>2025-10</v>
          </cell>
        </row>
        <row r="425">
          <cell r="G425" t="str">
            <v>C0N059</v>
          </cell>
          <cell r="O425" t="str">
            <v>2025-10</v>
          </cell>
        </row>
        <row r="426">
          <cell r="G426" t="str">
            <v>C4L290</v>
          </cell>
          <cell r="O426" t="str">
            <v>2025-09</v>
          </cell>
        </row>
        <row r="427">
          <cell r="G427" t="str">
            <v>C9N054</v>
          </cell>
          <cell r="O427" t="str">
            <v>2025-09</v>
          </cell>
        </row>
        <row r="428">
          <cell r="G428" t="str">
            <v>CBJ536</v>
          </cell>
          <cell r="O428" t="str">
            <v>2025-09</v>
          </cell>
        </row>
        <row r="429">
          <cell r="G429" t="str">
            <v>CBU000</v>
          </cell>
          <cell r="O429" t="str">
            <v>2025-10</v>
          </cell>
        </row>
        <row r="430">
          <cell r="G430" t="str">
            <v>CCA266</v>
          </cell>
          <cell r="O430" t="str">
            <v>2025-10</v>
          </cell>
        </row>
        <row r="431">
          <cell r="G431" t="str">
            <v>CCN091</v>
          </cell>
          <cell r="O431" t="str">
            <v>2025-11</v>
          </cell>
        </row>
        <row r="432">
          <cell r="G432" t="str">
            <v>CHC088</v>
          </cell>
          <cell r="O432" t="str">
            <v>2025-08</v>
          </cell>
        </row>
        <row r="433">
          <cell r="G433" t="str">
            <v>D1S052</v>
          </cell>
          <cell r="O433" t="str">
            <v>2025-08</v>
          </cell>
        </row>
        <row r="434">
          <cell r="G434" t="str">
            <v>D9M184</v>
          </cell>
          <cell r="O434" t="str">
            <v>2025-10</v>
          </cell>
        </row>
        <row r="435">
          <cell r="G435" t="str">
            <v>RON639</v>
          </cell>
          <cell r="O435" t="str">
            <v>2025-11</v>
          </cell>
        </row>
        <row r="436">
          <cell r="G436" t="str">
            <v>RQK933</v>
          </cell>
          <cell r="O436" t="str">
            <v>2025-08</v>
          </cell>
        </row>
        <row r="437">
          <cell r="G437" t="str">
            <v>ANO506</v>
          </cell>
          <cell r="O437" t="str">
            <v>2025-09</v>
          </cell>
        </row>
        <row r="438">
          <cell r="G438" t="str">
            <v>BFZ407</v>
          </cell>
          <cell r="O438" t="str">
            <v>2025-10</v>
          </cell>
        </row>
        <row r="439">
          <cell r="G439" t="str">
            <v>LGN021</v>
          </cell>
          <cell r="O439" t="str">
            <v>2025-11</v>
          </cell>
        </row>
        <row r="440">
          <cell r="G440" t="str">
            <v>RTA3S207</v>
          </cell>
          <cell r="O440" t="str">
            <v>2025-09</v>
          </cell>
        </row>
        <row r="441">
          <cell r="G441" t="str">
            <v>RTA6K582</v>
          </cell>
          <cell r="O441" t="str">
            <v>2025-08</v>
          </cell>
        </row>
        <row r="442">
          <cell r="G442" t="str">
            <v>RTA9E037</v>
          </cell>
          <cell r="O442" t="str">
            <v>2025-09</v>
          </cell>
        </row>
        <row r="443">
          <cell r="G443" t="str">
            <v>RTA9L247</v>
          </cell>
          <cell r="O443" t="str">
            <v>2025-09</v>
          </cell>
        </row>
        <row r="444">
          <cell r="G444" t="str">
            <v>RTAFH151</v>
          </cell>
          <cell r="O444" t="str">
            <v>2025-11</v>
          </cell>
        </row>
        <row r="445">
          <cell r="G445" t="str">
            <v>RTAFJ147</v>
          </cell>
          <cell r="O445" t="str">
            <v>2025-09</v>
          </cell>
        </row>
        <row r="446">
          <cell r="G446" t="str">
            <v>RTAFL582</v>
          </cell>
          <cell r="O446" t="str">
            <v>2025-10</v>
          </cell>
        </row>
        <row r="447">
          <cell r="G447" t="str">
            <v>RTAFT227</v>
          </cell>
          <cell r="O447" t="str">
            <v>2025-11</v>
          </cell>
        </row>
        <row r="448">
          <cell r="G448" t="str">
            <v>RTAHE665</v>
          </cell>
          <cell r="O448" t="str">
            <v>2025-10</v>
          </cell>
        </row>
        <row r="449">
          <cell r="G449" t="str">
            <v>RTAHY636</v>
          </cell>
          <cell r="O449" t="str">
            <v>2025-10</v>
          </cell>
        </row>
        <row r="450">
          <cell r="G450" t="str">
            <v>RTALO120</v>
          </cell>
          <cell r="O450" t="str">
            <v>2025-09</v>
          </cell>
        </row>
        <row r="451">
          <cell r="G451" t="str">
            <v>RTALO388</v>
          </cell>
          <cell r="O451" t="str">
            <v>2025-10</v>
          </cell>
        </row>
        <row r="452">
          <cell r="G452" t="str">
            <v>RTALT506</v>
          </cell>
          <cell r="O452" t="str">
            <v>2025-10</v>
          </cell>
        </row>
        <row r="453">
          <cell r="G453" t="str">
            <v>RTAMV238</v>
          </cell>
          <cell r="O453" t="str">
            <v>2025-08</v>
          </cell>
        </row>
        <row r="454">
          <cell r="G454" t="str">
            <v>RTANF123</v>
          </cell>
          <cell r="O454" t="str">
            <v>2025-08</v>
          </cell>
        </row>
        <row r="455">
          <cell r="G455" t="str">
            <v>RTANK567</v>
          </cell>
          <cell r="O455" t="str">
            <v>2025-11</v>
          </cell>
        </row>
        <row r="456">
          <cell r="G456" t="str">
            <v>RTAPI186</v>
          </cell>
          <cell r="O456" t="str">
            <v>2025-09</v>
          </cell>
        </row>
        <row r="457">
          <cell r="G457" t="str">
            <v>RTAPN218</v>
          </cell>
          <cell r="O457" t="str">
            <v>2025-10</v>
          </cell>
        </row>
        <row r="458">
          <cell r="G458" t="str">
            <v>RTARR558</v>
          </cell>
          <cell r="O458" t="str">
            <v>2025-10</v>
          </cell>
        </row>
        <row r="459">
          <cell r="G459" t="str">
            <v>RTARS102</v>
          </cell>
          <cell r="O459" t="str">
            <v>2025-10</v>
          </cell>
        </row>
        <row r="460">
          <cell r="G460" t="str">
            <v>RTATP521</v>
          </cell>
          <cell r="O460" t="str">
            <v>2025-10</v>
          </cell>
        </row>
        <row r="461">
          <cell r="G461" t="str">
            <v>RTATU602</v>
          </cell>
          <cell r="O461" t="str">
            <v>2025-08</v>
          </cell>
        </row>
        <row r="462">
          <cell r="G462" t="str">
            <v>RTAZQ456</v>
          </cell>
          <cell r="O462" t="str">
            <v>2025-09</v>
          </cell>
        </row>
        <row r="463">
          <cell r="G463" t="str">
            <v>RTBAU674</v>
          </cell>
          <cell r="O463" t="str">
            <v>2025-09</v>
          </cell>
        </row>
        <row r="464">
          <cell r="G464" t="str">
            <v>RTBCD695</v>
          </cell>
          <cell r="O464" t="str">
            <v>2025-10</v>
          </cell>
        </row>
        <row r="465">
          <cell r="G465" t="str">
            <v>RTBCV119</v>
          </cell>
          <cell r="O465" t="str">
            <v>2025-11</v>
          </cell>
        </row>
        <row r="466">
          <cell r="G466" t="str">
            <v>RTBFL199</v>
          </cell>
          <cell r="O466" t="str">
            <v>2025-09</v>
          </cell>
        </row>
        <row r="467">
          <cell r="G467" t="str">
            <v>RTBHW643</v>
          </cell>
          <cell r="O467" t="str">
            <v>2025-08</v>
          </cell>
        </row>
        <row r="468">
          <cell r="G468" t="str">
            <v>RTBJI236</v>
          </cell>
          <cell r="O468" t="str">
            <v>2025-11</v>
          </cell>
        </row>
        <row r="469">
          <cell r="G469" t="str">
            <v>RTBLA006</v>
          </cell>
          <cell r="O469" t="str">
            <v>2025-10</v>
          </cell>
        </row>
        <row r="470">
          <cell r="G470" t="str">
            <v>RTC0N059</v>
          </cell>
          <cell r="O470" t="str">
            <v>2025-09</v>
          </cell>
        </row>
        <row r="471">
          <cell r="G471" t="str">
            <v>RTC0W539</v>
          </cell>
          <cell r="O471" t="str">
            <v>2025-10</v>
          </cell>
        </row>
        <row r="472">
          <cell r="G472" t="str">
            <v>RTC1Z336</v>
          </cell>
          <cell r="O472" t="str">
            <v>2025-09</v>
          </cell>
        </row>
        <row r="473">
          <cell r="G473" t="str">
            <v>RTC7U113</v>
          </cell>
          <cell r="O473" t="str">
            <v>2025-10</v>
          </cell>
        </row>
        <row r="474">
          <cell r="G474" t="str">
            <v>RTC9K517</v>
          </cell>
          <cell r="O474" t="str">
            <v>2025-10</v>
          </cell>
        </row>
        <row r="475">
          <cell r="G475" t="str">
            <v>RTCQZ699</v>
          </cell>
          <cell r="O475" t="str">
            <v>2025-11</v>
          </cell>
        </row>
        <row r="476">
          <cell r="G476" t="str">
            <v>RTD0Z390</v>
          </cell>
          <cell r="O476" t="str">
            <v>2025-09</v>
          </cell>
        </row>
        <row r="477">
          <cell r="G477" t="str">
            <v>RTD2M481</v>
          </cell>
          <cell r="O477" t="str">
            <v>2025-11</v>
          </cell>
        </row>
        <row r="478">
          <cell r="G478" t="str">
            <v>RTD2Y357</v>
          </cell>
          <cell r="O478" t="str">
            <v>2025-10</v>
          </cell>
        </row>
        <row r="479">
          <cell r="G479" t="str">
            <v>RTD7Z597</v>
          </cell>
          <cell r="O479" t="str">
            <v>2025-09</v>
          </cell>
        </row>
        <row r="480">
          <cell r="G480" t="str">
            <v>RTF4F138</v>
          </cell>
          <cell r="O480" t="str">
            <v>2025-09</v>
          </cell>
        </row>
        <row r="481">
          <cell r="G481" t="str">
            <v>RTF4U253</v>
          </cell>
          <cell r="O481" t="str">
            <v>2025-09</v>
          </cell>
        </row>
        <row r="482">
          <cell r="G482">
            <v>17102671</v>
          </cell>
          <cell r="O482" t="str">
            <v>2025-11</v>
          </cell>
        </row>
        <row r="483">
          <cell r="G483">
            <v>17591243</v>
          </cell>
          <cell r="O483" t="str">
            <v>2025-12</v>
          </cell>
        </row>
        <row r="484">
          <cell r="G484">
            <v>17616110</v>
          </cell>
          <cell r="O484" t="str">
            <v>2025-12</v>
          </cell>
        </row>
        <row r="485">
          <cell r="G485">
            <v>11636910</v>
          </cell>
          <cell r="O485" t="str">
            <v>2025-10</v>
          </cell>
        </row>
        <row r="486">
          <cell r="G486">
            <v>17120132</v>
          </cell>
          <cell r="O486" t="str">
            <v>2025-12</v>
          </cell>
        </row>
        <row r="487">
          <cell r="G487">
            <v>17564298</v>
          </cell>
          <cell r="O487" t="str">
            <v>2025-12</v>
          </cell>
        </row>
        <row r="488">
          <cell r="G488">
            <v>17589033</v>
          </cell>
          <cell r="O488" t="str">
            <v>2025-12</v>
          </cell>
        </row>
        <row r="489">
          <cell r="G489">
            <v>17504249</v>
          </cell>
          <cell r="O489" t="str">
            <v>2025-10</v>
          </cell>
        </row>
        <row r="490">
          <cell r="G490">
            <v>2006592237</v>
          </cell>
          <cell r="O490" t="str">
            <v>2025-12</v>
          </cell>
        </row>
        <row r="491">
          <cell r="G491">
            <v>1810040684</v>
          </cell>
          <cell r="O491" t="str">
            <v>2034-01</v>
          </cell>
        </row>
        <row r="492">
          <cell r="G492">
            <v>970070559</v>
          </cell>
          <cell r="O492" t="str">
            <v>2036-05</v>
          </cell>
        </row>
        <row r="493">
          <cell r="G493">
            <v>10646447</v>
          </cell>
          <cell r="O493" t="str">
            <v>2025-12</v>
          </cell>
        </row>
        <row r="494">
          <cell r="G494">
            <v>1142522</v>
          </cell>
          <cell r="O494" t="str">
            <v>2025-12</v>
          </cell>
        </row>
        <row r="495">
          <cell r="G495">
            <v>14489284</v>
          </cell>
          <cell r="O495" t="str">
            <v>2026-01</v>
          </cell>
        </row>
        <row r="496">
          <cell r="G496">
            <v>15316911</v>
          </cell>
          <cell r="O496" t="str">
            <v>2025-12</v>
          </cell>
        </row>
        <row r="497">
          <cell r="G497">
            <v>15317285</v>
          </cell>
          <cell r="O497" t="str">
            <v>2025-12</v>
          </cell>
        </row>
        <row r="498">
          <cell r="G498">
            <v>15317752</v>
          </cell>
          <cell r="O498" t="str">
            <v>2025-12</v>
          </cell>
        </row>
        <row r="499">
          <cell r="G499">
            <v>16556833</v>
          </cell>
          <cell r="O499" t="str">
            <v>2025-12</v>
          </cell>
        </row>
        <row r="500">
          <cell r="G500">
            <v>16711633</v>
          </cell>
          <cell r="O500" t="str">
            <v>2025-12</v>
          </cell>
        </row>
        <row r="501">
          <cell r="G501">
            <v>16717014</v>
          </cell>
          <cell r="O501" t="str">
            <v>2026-01</v>
          </cell>
        </row>
        <row r="502">
          <cell r="G502">
            <v>975066</v>
          </cell>
          <cell r="O502" t="str">
            <v>2025-12</v>
          </cell>
        </row>
        <row r="503">
          <cell r="G503">
            <v>16551486</v>
          </cell>
          <cell r="O503" t="str">
            <v>2026-01</v>
          </cell>
        </row>
        <row r="504">
          <cell r="G504">
            <v>874589</v>
          </cell>
          <cell r="O504" t="str">
            <v>2025-12</v>
          </cell>
        </row>
        <row r="505">
          <cell r="G505">
            <v>11818833</v>
          </cell>
          <cell r="O505" t="str">
            <v>2025-11</v>
          </cell>
        </row>
        <row r="506">
          <cell r="G506">
            <v>16863467</v>
          </cell>
          <cell r="O506" t="str">
            <v>2026-01</v>
          </cell>
        </row>
        <row r="507">
          <cell r="G507">
            <v>97512</v>
          </cell>
          <cell r="O507" t="str">
            <v>2025-11</v>
          </cell>
        </row>
        <row r="508">
          <cell r="G508">
            <v>98237</v>
          </cell>
          <cell r="O508" t="str">
            <v>2025-11</v>
          </cell>
        </row>
        <row r="509">
          <cell r="G509">
            <v>48893</v>
          </cell>
          <cell r="O509" t="str">
            <v>2030-11</v>
          </cell>
        </row>
        <row r="510">
          <cell r="G510">
            <v>10500447</v>
          </cell>
          <cell r="O510" t="str">
            <v>2025-12</v>
          </cell>
        </row>
        <row r="511">
          <cell r="G511">
            <v>12025711</v>
          </cell>
          <cell r="O511" t="str">
            <v>2025-12</v>
          </cell>
        </row>
        <row r="512">
          <cell r="G512">
            <v>15303791</v>
          </cell>
          <cell r="O512" t="str">
            <v>2025-12</v>
          </cell>
        </row>
        <row r="513">
          <cell r="G513">
            <v>15314882</v>
          </cell>
          <cell r="O513" t="str">
            <v>2025-12</v>
          </cell>
        </row>
        <row r="514">
          <cell r="G514">
            <v>15340462</v>
          </cell>
          <cell r="O514" t="str">
            <v>2026-01</v>
          </cell>
        </row>
        <row r="515">
          <cell r="G515">
            <v>15778716</v>
          </cell>
          <cell r="O515" t="str">
            <v>2025-12</v>
          </cell>
        </row>
        <row r="516">
          <cell r="G516">
            <v>15867457</v>
          </cell>
          <cell r="O516" t="str">
            <v>2026-01</v>
          </cell>
        </row>
        <row r="517">
          <cell r="G517">
            <v>16706165</v>
          </cell>
          <cell r="O517" t="str">
            <v>2025-12</v>
          </cell>
        </row>
        <row r="518">
          <cell r="G518">
            <v>16726154</v>
          </cell>
          <cell r="O518" t="str">
            <v>2026-01</v>
          </cell>
        </row>
        <row r="519">
          <cell r="G519">
            <v>16870823</v>
          </cell>
          <cell r="O519" t="str">
            <v>2026-01</v>
          </cell>
        </row>
        <row r="520">
          <cell r="G520">
            <v>17117897</v>
          </cell>
          <cell r="O520" t="str">
            <v>2025-12</v>
          </cell>
        </row>
        <row r="521">
          <cell r="G521">
            <v>17120622</v>
          </cell>
          <cell r="O521" t="str">
            <v>2025-12</v>
          </cell>
        </row>
        <row r="522">
          <cell r="G522">
            <v>17123720</v>
          </cell>
          <cell r="O522" t="str">
            <v>2025-12</v>
          </cell>
        </row>
        <row r="523">
          <cell r="G523">
            <v>17128826</v>
          </cell>
          <cell r="O523" t="str">
            <v>2025-12</v>
          </cell>
        </row>
        <row r="524">
          <cell r="G524">
            <v>17616142</v>
          </cell>
          <cell r="O524" t="str">
            <v>2025-12</v>
          </cell>
        </row>
        <row r="525">
          <cell r="G525">
            <v>2752062</v>
          </cell>
          <cell r="O525" t="str">
            <v>2026-01</v>
          </cell>
        </row>
        <row r="526">
          <cell r="G526">
            <v>3197</v>
          </cell>
          <cell r="O526" t="str">
            <v>2026-01</v>
          </cell>
        </row>
        <row r="527">
          <cell r="G527">
            <v>586441</v>
          </cell>
          <cell r="O527" t="str">
            <v>2026-01</v>
          </cell>
        </row>
        <row r="528">
          <cell r="G528">
            <v>7140465</v>
          </cell>
          <cell r="O528" t="str">
            <v>2025-12</v>
          </cell>
        </row>
        <row r="529">
          <cell r="G529">
            <v>973581</v>
          </cell>
          <cell r="O529" t="str">
            <v>2025-12</v>
          </cell>
        </row>
        <row r="530">
          <cell r="G530">
            <v>2001135239</v>
          </cell>
          <cell r="O530" t="str">
            <v>2025-12</v>
          </cell>
        </row>
        <row r="531">
          <cell r="G531">
            <v>2001168821</v>
          </cell>
          <cell r="O531" t="str">
            <v>2025-12</v>
          </cell>
        </row>
        <row r="532">
          <cell r="G532">
            <v>2001173065</v>
          </cell>
          <cell r="O532" t="str">
            <v>2025-12</v>
          </cell>
        </row>
        <row r="533">
          <cell r="G533">
            <v>2001189382</v>
          </cell>
          <cell r="O533" t="str">
            <v>2025-12</v>
          </cell>
        </row>
        <row r="534">
          <cell r="G534">
            <v>2002326426</v>
          </cell>
          <cell r="O534" t="str">
            <v>2026-01</v>
          </cell>
        </row>
        <row r="535">
          <cell r="G535">
            <v>2003264555</v>
          </cell>
          <cell r="O535" t="str">
            <v>2025-12</v>
          </cell>
        </row>
        <row r="536">
          <cell r="G536">
            <v>2006487865</v>
          </cell>
          <cell r="O536" t="str">
            <v>2025-11</v>
          </cell>
        </row>
        <row r="537">
          <cell r="G537">
            <v>2006502081</v>
          </cell>
          <cell r="O537" t="str">
            <v>2025-11</v>
          </cell>
        </row>
        <row r="538">
          <cell r="G538">
            <v>2006512782</v>
          </cell>
          <cell r="O538" t="str">
            <v>2025-12</v>
          </cell>
        </row>
        <row r="539">
          <cell r="G539">
            <v>2007936901</v>
          </cell>
          <cell r="O539" t="str">
            <v>2025-12</v>
          </cell>
        </row>
        <row r="540">
          <cell r="G540">
            <v>2009311492</v>
          </cell>
          <cell r="O540" t="str">
            <v>2025-12</v>
          </cell>
        </row>
        <row r="541">
          <cell r="G541">
            <v>2002253838</v>
          </cell>
          <cell r="O541" t="str">
            <v>2025-12</v>
          </cell>
        </row>
        <row r="542">
          <cell r="G542">
            <v>2002261070</v>
          </cell>
          <cell r="O542" t="str">
            <v>2026-01</v>
          </cell>
        </row>
        <row r="543">
          <cell r="G543">
            <v>2002264102</v>
          </cell>
          <cell r="O543" t="str">
            <v>2025-12</v>
          </cell>
        </row>
        <row r="544">
          <cell r="G544">
            <v>2002281956</v>
          </cell>
          <cell r="O544" t="str">
            <v>2025-12</v>
          </cell>
        </row>
        <row r="545">
          <cell r="G545">
            <v>2004457081</v>
          </cell>
          <cell r="O545" t="str">
            <v>2026-01</v>
          </cell>
        </row>
        <row r="546">
          <cell r="G546">
            <v>2007904776</v>
          </cell>
          <cell r="O546" t="str">
            <v>2025-12</v>
          </cell>
        </row>
        <row r="547">
          <cell r="G547">
            <v>2009000125</v>
          </cell>
          <cell r="O547" t="str">
            <v>2025-12</v>
          </cell>
        </row>
        <row r="548">
          <cell r="G548">
            <v>2009000236</v>
          </cell>
          <cell r="O548" t="str">
            <v>2025-12</v>
          </cell>
        </row>
        <row r="549">
          <cell r="G549">
            <v>2009000261</v>
          </cell>
          <cell r="O549" t="str">
            <v>2025-12</v>
          </cell>
        </row>
        <row r="550">
          <cell r="G550">
            <v>2009000281</v>
          </cell>
          <cell r="O550" t="str">
            <v>2025-12</v>
          </cell>
        </row>
        <row r="551">
          <cell r="G551">
            <v>2009000304</v>
          </cell>
          <cell r="O551" t="str">
            <v>2025-12</v>
          </cell>
        </row>
        <row r="552">
          <cell r="G552">
            <v>2009000322</v>
          </cell>
          <cell r="O552" t="str">
            <v>2025-12</v>
          </cell>
        </row>
        <row r="553">
          <cell r="G553">
            <v>2009004614</v>
          </cell>
          <cell r="O553" t="str">
            <v>2025-11</v>
          </cell>
        </row>
        <row r="554">
          <cell r="G554" t="str">
            <v>1736NB</v>
          </cell>
          <cell r="O554" t="str">
            <v>2025-10</v>
          </cell>
        </row>
        <row r="555">
          <cell r="G555" t="str">
            <v>CHL045</v>
          </cell>
          <cell r="O555" t="str">
            <v>2025-11</v>
          </cell>
        </row>
        <row r="556">
          <cell r="G556" t="str">
            <v>RTBCU875</v>
          </cell>
          <cell r="O556" t="str">
            <v>2025-08</v>
          </cell>
        </row>
        <row r="557">
          <cell r="G557" t="str">
            <v>RTP2C704</v>
          </cell>
          <cell r="O557" t="str">
            <v>2025-11</v>
          </cell>
        </row>
        <row r="558">
          <cell r="G558" t="str">
            <v>RTP2N164</v>
          </cell>
          <cell r="O558" t="str">
            <v>2025-09</v>
          </cell>
        </row>
        <row r="559">
          <cell r="G559" t="str">
            <v>RTT0O802</v>
          </cell>
          <cell r="O559" t="str">
            <v>2025-08</v>
          </cell>
        </row>
        <row r="560">
          <cell r="G560" t="str">
            <v>T2F214</v>
          </cell>
          <cell r="O560" t="str">
            <v>2025-09</v>
          </cell>
        </row>
        <row r="561">
          <cell r="G561">
            <v>220026136</v>
          </cell>
          <cell r="O561" t="str">
            <v>2026-01</v>
          </cell>
        </row>
        <row r="562">
          <cell r="G562">
            <v>220026120</v>
          </cell>
          <cell r="O562" t="str">
            <v>2026-01</v>
          </cell>
        </row>
        <row r="563">
          <cell r="G563">
            <v>340096375</v>
          </cell>
          <cell r="O563" t="str">
            <v>2025-12</v>
          </cell>
        </row>
        <row r="564">
          <cell r="G564" t="str">
            <v>A0G377</v>
          </cell>
          <cell r="O564" t="str">
            <v>2025-08</v>
          </cell>
        </row>
        <row r="565">
          <cell r="G565" t="str">
            <v>AJV115</v>
          </cell>
          <cell r="O565" t="str">
            <v>2025-09</v>
          </cell>
        </row>
        <row r="566">
          <cell r="G566" t="str">
            <v>BMA630</v>
          </cell>
          <cell r="O566" t="str">
            <v>2025-10</v>
          </cell>
        </row>
        <row r="567">
          <cell r="G567" t="str">
            <v>BMD247</v>
          </cell>
          <cell r="O567" t="str">
            <v>2025-10</v>
          </cell>
        </row>
        <row r="568">
          <cell r="G568" t="str">
            <v>BWA822</v>
          </cell>
          <cell r="O568" t="str">
            <v>2025-08</v>
          </cell>
        </row>
        <row r="569">
          <cell r="G569" t="str">
            <v>BWK753</v>
          </cell>
          <cell r="O569" t="str">
            <v>2025-09</v>
          </cell>
        </row>
        <row r="570">
          <cell r="G570" t="str">
            <v>C4G555</v>
          </cell>
          <cell r="O570" t="str">
            <v>2025-10</v>
          </cell>
        </row>
        <row r="571">
          <cell r="G571" t="str">
            <v>RTALG809</v>
          </cell>
          <cell r="O571" t="str">
            <v>2025-10</v>
          </cell>
        </row>
        <row r="572">
          <cell r="G572" t="str">
            <v>RTBDW116</v>
          </cell>
          <cell r="O572" t="str">
            <v>2025-10</v>
          </cell>
        </row>
        <row r="573">
          <cell r="G573" t="str">
            <v>RTC8R251</v>
          </cell>
          <cell r="O573" t="str">
            <v>2025-10</v>
          </cell>
        </row>
        <row r="574">
          <cell r="G574" t="str">
            <v>RTP1V523</v>
          </cell>
          <cell r="O574" t="str">
            <v>2025-11</v>
          </cell>
        </row>
        <row r="575">
          <cell r="G575" t="str">
            <v>RTP2I219</v>
          </cell>
          <cell r="O575" t="str">
            <v>2025-11</v>
          </cell>
        </row>
        <row r="576">
          <cell r="G576">
            <v>2701259900190</v>
          </cell>
          <cell r="O576" t="str">
            <v>2025-12</v>
          </cell>
        </row>
        <row r="577">
          <cell r="G577">
            <v>2101259900079</v>
          </cell>
          <cell r="O577" t="str">
            <v>2025-12</v>
          </cell>
        </row>
        <row r="578">
          <cell r="G578">
            <v>3022400431373</v>
          </cell>
          <cell r="O578" t="str">
            <v>2025-12</v>
          </cell>
        </row>
        <row r="579">
          <cell r="G579">
            <v>3022400431412</v>
          </cell>
          <cell r="O579" t="str">
            <v>2025-12</v>
          </cell>
        </row>
        <row r="580">
          <cell r="G580">
            <v>3022400431443</v>
          </cell>
          <cell r="O580" t="str">
            <v>2025-12</v>
          </cell>
        </row>
        <row r="581">
          <cell r="G581">
            <v>3022400435187</v>
          </cell>
          <cell r="O581" t="str">
            <v>2025-12</v>
          </cell>
        </row>
        <row r="582">
          <cell r="G582">
            <v>3022400435206</v>
          </cell>
          <cell r="O582" t="str">
            <v>2025-12</v>
          </cell>
        </row>
        <row r="583">
          <cell r="G583">
            <v>3022400435227</v>
          </cell>
          <cell r="O583" t="str">
            <v>2025-12</v>
          </cell>
        </row>
        <row r="584">
          <cell r="G584">
            <v>3022400435240</v>
          </cell>
          <cell r="O584" t="str">
            <v>2025-12</v>
          </cell>
        </row>
        <row r="585">
          <cell r="G585">
            <v>1201210100111</v>
          </cell>
          <cell r="O585" t="str">
            <v>2026-01</v>
          </cell>
        </row>
        <row r="586">
          <cell r="G586">
            <v>3011020000708</v>
          </cell>
          <cell r="O586" t="str">
            <v>2026-01</v>
          </cell>
        </row>
        <row r="587">
          <cell r="G587">
            <v>3011900065483</v>
          </cell>
          <cell r="O587" t="str">
            <v>2026-01</v>
          </cell>
        </row>
        <row r="588">
          <cell r="G588" t="str">
            <v>A0V537</v>
          </cell>
          <cell r="O588" t="str">
            <v>2025-10</v>
          </cell>
        </row>
        <row r="589">
          <cell r="G589" t="str">
            <v>A8F496</v>
          </cell>
          <cell r="O589" t="str">
            <v>2025-11</v>
          </cell>
        </row>
        <row r="590">
          <cell r="G590" t="str">
            <v>A9T490</v>
          </cell>
          <cell r="O590" t="str">
            <v>2025-11</v>
          </cell>
        </row>
        <row r="591">
          <cell r="G591" t="str">
            <v>AAO570</v>
          </cell>
          <cell r="O591" t="str">
            <v>2025-09</v>
          </cell>
        </row>
        <row r="592">
          <cell r="G592" t="str">
            <v>ADP608</v>
          </cell>
          <cell r="O592" t="str">
            <v>2025-10</v>
          </cell>
        </row>
        <row r="593">
          <cell r="G593" t="str">
            <v>AFC484</v>
          </cell>
          <cell r="O593" t="str">
            <v>2025-11</v>
          </cell>
        </row>
        <row r="594">
          <cell r="G594" t="str">
            <v>AFH151</v>
          </cell>
          <cell r="O594" t="str">
            <v>2025-10</v>
          </cell>
        </row>
        <row r="595">
          <cell r="G595" t="str">
            <v>AKT611</v>
          </cell>
          <cell r="O595" t="str">
            <v>2025-10</v>
          </cell>
        </row>
        <row r="596">
          <cell r="G596" t="str">
            <v>ALG604</v>
          </cell>
          <cell r="O596" t="str">
            <v>2025-12</v>
          </cell>
        </row>
        <row r="597">
          <cell r="G597" t="str">
            <v>ALL094</v>
          </cell>
          <cell r="O597" t="str">
            <v>2025-11</v>
          </cell>
        </row>
        <row r="598">
          <cell r="G598" t="str">
            <v>ALL652</v>
          </cell>
          <cell r="O598" t="str">
            <v>2025-09</v>
          </cell>
        </row>
        <row r="599">
          <cell r="G599" t="str">
            <v>ASI009</v>
          </cell>
          <cell r="O599" t="str">
            <v>2025-11</v>
          </cell>
        </row>
        <row r="600">
          <cell r="G600" t="str">
            <v>ASP602</v>
          </cell>
          <cell r="O600" t="str">
            <v>2025-09</v>
          </cell>
        </row>
        <row r="601">
          <cell r="G601" t="str">
            <v>AXW581</v>
          </cell>
          <cell r="O601" t="str">
            <v>2025-10</v>
          </cell>
        </row>
        <row r="602">
          <cell r="G602" t="str">
            <v>B4J027</v>
          </cell>
          <cell r="O602" t="str">
            <v>2025-11</v>
          </cell>
        </row>
        <row r="603">
          <cell r="G603" t="str">
            <v>B6P060</v>
          </cell>
          <cell r="O603" t="str">
            <v>2025-09</v>
          </cell>
        </row>
        <row r="604">
          <cell r="G604" t="str">
            <v>BBJ629</v>
          </cell>
          <cell r="O604" t="str">
            <v>2025-10</v>
          </cell>
        </row>
        <row r="605">
          <cell r="G605" t="str">
            <v>BEB284</v>
          </cell>
          <cell r="O605" t="str">
            <v>2025-09</v>
          </cell>
        </row>
        <row r="606">
          <cell r="G606" t="str">
            <v>BEO912</v>
          </cell>
          <cell r="O606" t="str">
            <v>2025-09</v>
          </cell>
        </row>
        <row r="607">
          <cell r="G607" t="str">
            <v>BES146</v>
          </cell>
          <cell r="O607" t="str">
            <v>2025-11</v>
          </cell>
        </row>
        <row r="608">
          <cell r="G608" t="str">
            <v>BLN388</v>
          </cell>
          <cell r="O608" t="str">
            <v>2025-09</v>
          </cell>
        </row>
        <row r="609">
          <cell r="G609" t="str">
            <v>BLR467</v>
          </cell>
          <cell r="O609" t="str">
            <v>2025-12</v>
          </cell>
        </row>
        <row r="610">
          <cell r="G610" t="str">
            <v>BMX483</v>
          </cell>
          <cell r="O610" t="str">
            <v>2025-09</v>
          </cell>
        </row>
        <row r="611">
          <cell r="G611" t="str">
            <v>BSR411</v>
          </cell>
          <cell r="O611" t="str">
            <v>2025-11</v>
          </cell>
        </row>
        <row r="612">
          <cell r="G612" t="str">
            <v>BWG308</v>
          </cell>
          <cell r="O612" t="str">
            <v>2025-09</v>
          </cell>
        </row>
        <row r="613">
          <cell r="G613" t="str">
            <v>C0W539</v>
          </cell>
          <cell r="O613" t="str">
            <v>2025-10</v>
          </cell>
        </row>
        <row r="614">
          <cell r="G614" t="str">
            <v>C8S432</v>
          </cell>
          <cell r="O614" t="str">
            <v>2025-10</v>
          </cell>
        </row>
        <row r="615">
          <cell r="G615" t="str">
            <v>C9Z588</v>
          </cell>
          <cell r="O615" t="str">
            <v>2025-10</v>
          </cell>
        </row>
        <row r="616">
          <cell r="G616" t="str">
            <v>CBV001</v>
          </cell>
          <cell r="O616" t="str">
            <v>2025-11</v>
          </cell>
        </row>
        <row r="617">
          <cell r="G617" t="str">
            <v>CCL354</v>
          </cell>
          <cell r="O617" t="str">
            <v>2025-11</v>
          </cell>
        </row>
        <row r="618">
          <cell r="G618" t="str">
            <v>CCR237</v>
          </cell>
          <cell r="O618" t="str">
            <v>2025-12</v>
          </cell>
        </row>
        <row r="619">
          <cell r="G619" t="str">
            <v>CFZ658</v>
          </cell>
          <cell r="O619" t="str">
            <v>2026-07</v>
          </cell>
        </row>
        <row r="620">
          <cell r="G620" t="str">
            <v>CGD285</v>
          </cell>
          <cell r="O620" t="str">
            <v>2025-09</v>
          </cell>
        </row>
        <row r="621">
          <cell r="G621" t="str">
            <v>CJN139</v>
          </cell>
          <cell r="O621" t="str">
            <v>2025-11</v>
          </cell>
        </row>
        <row r="622">
          <cell r="G622" t="str">
            <v>D0J587</v>
          </cell>
          <cell r="O622" t="str">
            <v>2025-10</v>
          </cell>
        </row>
        <row r="623">
          <cell r="G623" t="str">
            <v>D0N014</v>
          </cell>
          <cell r="O623" t="str">
            <v>2025-08</v>
          </cell>
        </row>
        <row r="624">
          <cell r="G624" t="str">
            <v>D0Q137</v>
          </cell>
          <cell r="O624" t="str">
            <v>2025-09</v>
          </cell>
        </row>
        <row r="625">
          <cell r="G625" t="str">
            <v>D4E226</v>
          </cell>
          <cell r="O625" t="str">
            <v>2025-10</v>
          </cell>
        </row>
        <row r="626">
          <cell r="G626" t="str">
            <v>D4S287</v>
          </cell>
          <cell r="O626" t="str">
            <v>2025-09</v>
          </cell>
        </row>
        <row r="627">
          <cell r="G627" t="str">
            <v>D5I702</v>
          </cell>
          <cell r="O627" t="str">
            <v>2025-08</v>
          </cell>
        </row>
        <row r="628">
          <cell r="G628" t="str">
            <v>D9Y270</v>
          </cell>
          <cell r="O628" t="str">
            <v>2025-09</v>
          </cell>
        </row>
        <row r="629">
          <cell r="G629" t="str">
            <v>EMI63B</v>
          </cell>
          <cell r="O629" t="str">
            <v>2025-08</v>
          </cell>
        </row>
        <row r="630">
          <cell r="G630" t="str">
            <v>EMI68B</v>
          </cell>
          <cell r="O630" t="str">
            <v>2025-10</v>
          </cell>
        </row>
        <row r="631">
          <cell r="G631" t="str">
            <v>EMI70B</v>
          </cell>
          <cell r="O631" t="str">
            <v>2025-10</v>
          </cell>
        </row>
        <row r="632">
          <cell r="G632" t="str">
            <v>EMI93B</v>
          </cell>
          <cell r="O632" t="str">
            <v>2025-09</v>
          </cell>
        </row>
        <row r="633">
          <cell r="G633" t="str">
            <v>EMI94B</v>
          </cell>
          <cell r="O633" t="str">
            <v>2025-09</v>
          </cell>
        </row>
        <row r="634">
          <cell r="G634" t="str">
            <v>F2V152</v>
          </cell>
          <cell r="O634" t="str">
            <v>2025-12</v>
          </cell>
        </row>
        <row r="635">
          <cell r="G635" t="str">
            <v>F4N383</v>
          </cell>
          <cell r="O635" t="str">
            <v>2025-11</v>
          </cell>
        </row>
        <row r="636">
          <cell r="G636" t="str">
            <v>BAW122</v>
          </cell>
          <cell r="O636" t="str">
            <v>2025-11</v>
          </cell>
        </row>
        <row r="637">
          <cell r="G637" t="str">
            <v>D0J587</v>
          </cell>
          <cell r="O637" t="str">
            <v>2025-10</v>
          </cell>
        </row>
        <row r="638">
          <cell r="G638" t="str">
            <v>D4S287</v>
          </cell>
          <cell r="O638" t="str">
            <v>2025-09</v>
          </cell>
        </row>
        <row r="639">
          <cell r="G639" t="str">
            <v>RTA0K316</v>
          </cell>
          <cell r="O639" t="str">
            <v>2025-11</v>
          </cell>
        </row>
        <row r="640">
          <cell r="G640" t="str">
            <v>RTA0V537</v>
          </cell>
          <cell r="O640" t="str">
            <v>2025-10</v>
          </cell>
        </row>
        <row r="641">
          <cell r="G641" t="str">
            <v>RTA4O154</v>
          </cell>
          <cell r="O641" t="str">
            <v>2025-09</v>
          </cell>
        </row>
        <row r="642">
          <cell r="G642" t="str">
            <v>RTA9E197</v>
          </cell>
          <cell r="O642" t="str">
            <v>2025-09</v>
          </cell>
        </row>
        <row r="643">
          <cell r="G643" t="str">
            <v>RTAAP421</v>
          </cell>
          <cell r="O643" t="str">
            <v>2025-11</v>
          </cell>
        </row>
        <row r="644">
          <cell r="G644" t="str">
            <v>RTABH183</v>
          </cell>
          <cell r="O644" t="str">
            <v>2025-08</v>
          </cell>
        </row>
        <row r="645">
          <cell r="G645" t="str">
            <v>RTABW478</v>
          </cell>
          <cell r="O645" t="str">
            <v>2025-11</v>
          </cell>
        </row>
        <row r="646">
          <cell r="G646" t="str">
            <v>RTACX368</v>
          </cell>
          <cell r="O646" t="str">
            <v>2025-11</v>
          </cell>
        </row>
        <row r="647">
          <cell r="G647" t="str">
            <v>RTADM415</v>
          </cell>
          <cell r="O647" t="str">
            <v>2025-11</v>
          </cell>
        </row>
        <row r="648">
          <cell r="G648" t="str">
            <v>RTADP608</v>
          </cell>
          <cell r="O648" t="str">
            <v>2025-09</v>
          </cell>
        </row>
        <row r="649">
          <cell r="G649" t="str">
            <v>RTAEK400</v>
          </cell>
          <cell r="O649" t="str">
            <v>2025-11</v>
          </cell>
        </row>
        <row r="650">
          <cell r="G650" t="str">
            <v>RTAJP124</v>
          </cell>
          <cell r="O650" t="str">
            <v>2025-09</v>
          </cell>
        </row>
        <row r="651">
          <cell r="G651" t="str">
            <v>RTAJV115</v>
          </cell>
          <cell r="O651" t="str">
            <v>2025-11</v>
          </cell>
        </row>
        <row r="652">
          <cell r="G652" t="str">
            <v>RTALG604</v>
          </cell>
          <cell r="O652" t="str">
            <v>2025-11</v>
          </cell>
        </row>
        <row r="653">
          <cell r="G653" t="str">
            <v>RTALY570</v>
          </cell>
          <cell r="O653" t="str">
            <v>2025-10</v>
          </cell>
        </row>
        <row r="654">
          <cell r="G654" t="str">
            <v>RTAMW211</v>
          </cell>
          <cell r="O654" t="str">
            <v>2025-09</v>
          </cell>
        </row>
        <row r="655">
          <cell r="G655" t="str">
            <v>RTAPE241</v>
          </cell>
          <cell r="O655" t="str">
            <v>2025-11</v>
          </cell>
        </row>
        <row r="656">
          <cell r="G656" t="str">
            <v>RTAPJ137</v>
          </cell>
          <cell r="O656" t="str">
            <v>2025-11</v>
          </cell>
        </row>
        <row r="657">
          <cell r="G657" t="str">
            <v>RTASB134</v>
          </cell>
          <cell r="O657" t="str">
            <v>2025-09</v>
          </cell>
        </row>
        <row r="658">
          <cell r="G658" t="str">
            <v>RTASP602</v>
          </cell>
          <cell r="O658" t="str">
            <v>2025-09</v>
          </cell>
        </row>
        <row r="659">
          <cell r="G659" t="str">
            <v>RTATY162</v>
          </cell>
          <cell r="O659" t="str">
            <v>2025-09</v>
          </cell>
        </row>
        <row r="660">
          <cell r="G660" t="str">
            <v>RTAUQ844</v>
          </cell>
          <cell r="O660" t="str">
            <v>2025-11</v>
          </cell>
        </row>
        <row r="661">
          <cell r="G661" t="str">
            <v>RTAVJ146</v>
          </cell>
          <cell r="O661" t="str">
            <v>2025-08</v>
          </cell>
        </row>
        <row r="662">
          <cell r="G662" t="str">
            <v>RTAWJ121</v>
          </cell>
          <cell r="O662" t="str">
            <v>2025-10</v>
          </cell>
        </row>
        <row r="663">
          <cell r="G663" t="str">
            <v>RTB0E138</v>
          </cell>
          <cell r="O663" t="str">
            <v>2025-08</v>
          </cell>
        </row>
        <row r="664">
          <cell r="G664" t="str">
            <v>RTB4F050</v>
          </cell>
          <cell r="O664" t="str">
            <v>2025-11</v>
          </cell>
        </row>
        <row r="665">
          <cell r="G665" t="str">
            <v>RTB4J027</v>
          </cell>
          <cell r="O665" t="str">
            <v>2025-11</v>
          </cell>
        </row>
        <row r="666">
          <cell r="G666" t="str">
            <v>RTB6O559</v>
          </cell>
          <cell r="O666" t="str">
            <v>2025-10</v>
          </cell>
        </row>
        <row r="667">
          <cell r="G667" t="str">
            <v>RTB6P060</v>
          </cell>
          <cell r="O667" t="str">
            <v>2025-09</v>
          </cell>
        </row>
        <row r="668">
          <cell r="G668" t="str">
            <v>RTBAQ291</v>
          </cell>
          <cell r="O668" t="str">
            <v>2025-09</v>
          </cell>
        </row>
        <row r="669">
          <cell r="G669" t="str">
            <v>RTBAT018</v>
          </cell>
          <cell r="O669" t="str">
            <v>2025-08</v>
          </cell>
        </row>
        <row r="670">
          <cell r="G670" t="str">
            <v>RTBBS783</v>
          </cell>
          <cell r="O670" t="str">
            <v>2025-08</v>
          </cell>
        </row>
        <row r="671">
          <cell r="G671" t="str">
            <v>RTBES146</v>
          </cell>
          <cell r="O671" t="str">
            <v>2025-11</v>
          </cell>
        </row>
        <row r="672">
          <cell r="G672" t="str">
            <v>RTBFE388</v>
          </cell>
          <cell r="O672" t="str">
            <v>2025-11</v>
          </cell>
        </row>
        <row r="673">
          <cell r="G673" t="str">
            <v>RTBHJ019</v>
          </cell>
          <cell r="O673" t="str">
            <v>2025-10</v>
          </cell>
        </row>
        <row r="674">
          <cell r="G674" t="str">
            <v>RTBJU377</v>
          </cell>
          <cell r="O674" t="str">
            <v>2025-11</v>
          </cell>
        </row>
        <row r="675">
          <cell r="G675" t="str">
            <v>RTBPM543</v>
          </cell>
          <cell r="O675" t="str">
            <v>2025-11</v>
          </cell>
        </row>
        <row r="676">
          <cell r="G676" t="str">
            <v>RTC2U313</v>
          </cell>
          <cell r="O676" t="str">
            <v>2025-10</v>
          </cell>
        </row>
        <row r="677">
          <cell r="G677" t="str">
            <v>RTC3T189</v>
          </cell>
          <cell r="O677" t="str">
            <v>2025-10</v>
          </cell>
        </row>
        <row r="678">
          <cell r="G678" t="str">
            <v>RTC5O144</v>
          </cell>
          <cell r="O678" t="str">
            <v>2025-09</v>
          </cell>
        </row>
        <row r="679">
          <cell r="G679" t="str">
            <v>RTC8V240</v>
          </cell>
          <cell r="O679" t="str">
            <v>2025-10</v>
          </cell>
        </row>
        <row r="680">
          <cell r="G680" t="str">
            <v>RTC9W577</v>
          </cell>
          <cell r="O680" t="str">
            <v>2025-11</v>
          </cell>
        </row>
        <row r="681">
          <cell r="G681" t="str">
            <v>RTCCA266</v>
          </cell>
          <cell r="O681" t="str">
            <v>2025-10</v>
          </cell>
        </row>
        <row r="682">
          <cell r="G682" t="str">
            <v>RTD0D506</v>
          </cell>
          <cell r="O682" t="str">
            <v>2025-11</v>
          </cell>
        </row>
        <row r="683">
          <cell r="G683" t="str">
            <v>RTD0X312</v>
          </cell>
          <cell r="O683" t="str">
            <v>2025-09</v>
          </cell>
        </row>
        <row r="684">
          <cell r="G684" t="str">
            <v>RTD2M920</v>
          </cell>
          <cell r="O684" t="str">
            <v>2025-08</v>
          </cell>
        </row>
        <row r="685">
          <cell r="G685" t="str">
            <v>RTD2O421</v>
          </cell>
          <cell r="O685" t="str">
            <v>2025-09</v>
          </cell>
        </row>
        <row r="686">
          <cell r="G686" t="str">
            <v>RTD5I702</v>
          </cell>
          <cell r="O686" t="str">
            <v>2025-08</v>
          </cell>
        </row>
        <row r="687">
          <cell r="G687" t="str">
            <v>RTD8Z401</v>
          </cell>
          <cell r="O687" t="str">
            <v>2025-09</v>
          </cell>
        </row>
        <row r="688">
          <cell r="G688" t="str">
            <v>RTD9Y270</v>
          </cell>
          <cell r="O688" t="str">
            <v>2025-10</v>
          </cell>
        </row>
        <row r="689">
          <cell r="G689" t="str">
            <v>RTEMI383</v>
          </cell>
          <cell r="O689" t="str">
            <v>2024-05</v>
          </cell>
        </row>
        <row r="690">
          <cell r="G690" t="str">
            <v>RTF0C481</v>
          </cell>
          <cell r="O690" t="str">
            <v>2025-11</v>
          </cell>
        </row>
        <row r="691">
          <cell r="G691" t="str">
            <v>RTF2V152</v>
          </cell>
          <cell r="O691" t="str">
            <v>2025-11</v>
          </cell>
        </row>
        <row r="692">
          <cell r="G692" t="str">
            <v>RTF6A236</v>
          </cell>
          <cell r="O692" t="str">
            <v>2025-10</v>
          </cell>
        </row>
        <row r="693">
          <cell r="G693" t="str">
            <v>RTRQK933</v>
          </cell>
          <cell r="O693" t="str">
            <v>2025-10</v>
          </cell>
        </row>
        <row r="694">
          <cell r="G694">
            <v>530357</v>
          </cell>
          <cell r="O694" t="str">
            <v>2025-12</v>
          </cell>
        </row>
        <row r="695">
          <cell r="G695">
            <v>504487</v>
          </cell>
          <cell r="O695" t="str">
            <v>2025-12</v>
          </cell>
        </row>
        <row r="696">
          <cell r="G696">
            <v>510273</v>
          </cell>
          <cell r="O696" t="str">
            <v>2025-12</v>
          </cell>
        </row>
        <row r="697">
          <cell r="G697">
            <v>9399985</v>
          </cell>
          <cell r="O697" t="str">
            <v>2025-10</v>
          </cell>
        </row>
        <row r="698">
          <cell r="G698">
            <v>9407330</v>
          </cell>
          <cell r="O698" t="str">
            <v>2025-12</v>
          </cell>
        </row>
        <row r="699">
          <cell r="G699">
            <v>9430658</v>
          </cell>
          <cell r="O699" t="str">
            <v>2025-12</v>
          </cell>
        </row>
        <row r="700">
          <cell r="G700">
            <v>90073877</v>
          </cell>
          <cell r="O700" t="str">
            <v>2045-06</v>
          </cell>
        </row>
        <row r="701">
          <cell r="G701">
            <v>37478</v>
          </cell>
          <cell r="O701" t="str">
            <v>2025-12</v>
          </cell>
        </row>
        <row r="702">
          <cell r="G702">
            <v>45750</v>
          </cell>
          <cell r="O702" t="str">
            <v>2025-08</v>
          </cell>
        </row>
        <row r="703">
          <cell r="G703">
            <v>2738</v>
          </cell>
          <cell r="O703" t="str">
            <v>2025-11</v>
          </cell>
        </row>
        <row r="704">
          <cell r="G704">
            <v>74699</v>
          </cell>
          <cell r="O704" t="str">
            <v>2025-12</v>
          </cell>
        </row>
        <row r="705">
          <cell r="G705">
            <v>74840</v>
          </cell>
          <cell r="O705" t="str">
            <v>2025-11</v>
          </cell>
        </row>
        <row r="706">
          <cell r="G706">
            <v>75408</v>
          </cell>
          <cell r="O706" t="str">
            <v>2026-01</v>
          </cell>
        </row>
        <row r="707">
          <cell r="G707">
            <v>87975</v>
          </cell>
          <cell r="O707" t="str">
            <v>2026-01</v>
          </cell>
        </row>
        <row r="708">
          <cell r="G708">
            <v>93580</v>
          </cell>
          <cell r="O708" t="str">
            <v>2025-12</v>
          </cell>
        </row>
        <row r="709">
          <cell r="G709">
            <v>93584</v>
          </cell>
          <cell r="O709" t="str">
            <v>2025-12</v>
          </cell>
        </row>
        <row r="710">
          <cell r="G710">
            <v>93933</v>
          </cell>
          <cell r="O710" t="str">
            <v>2025-12</v>
          </cell>
        </row>
        <row r="711">
          <cell r="G711">
            <v>94159</v>
          </cell>
          <cell r="O711" t="str">
            <v>2026-01</v>
          </cell>
        </row>
        <row r="712">
          <cell r="G712">
            <v>4046</v>
          </cell>
          <cell r="O712" t="str">
            <v>2025-11</v>
          </cell>
        </row>
        <row r="713">
          <cell r="G713">
            <v>40724</v>
          </cell>
          <cell r="O713" t="str">
            <v>2025-12</v>
          </cell>
        </row>
        <row r="714">
          <cell r="G714">
            <v>45666</v>
          </cell>
          <cell r="O714" t="str">
            <v>2025-11</v>
          </cell>
        </row>
        <row r="715">
          <cell r="G715">
            <v>52472</v>
          </cell>
          <cell r="O715" t="str">
            <v>2025-12</v>
          </cell>
        </row>
        <row r="716">
          <cell r="G716">
            <v>52481</v>
          </cell>
          <cell r="O716" t="str">
            <v>2026-01</v>
          </cell>
        </row>
        <row r="717">
          <cell r="G717">
            <v>52540</v>
          </cell>
          <cell r="O717" t="str">
            <v>2025-12</v>
          </cell>
        </row>
        <row r="718">
          <cell r="G718">
            <v>38142</v>
          </cell>
          <cell r="O718" t="str">
            <v>2025-12</v>
          </cell>
        </row>
        <row r="719">
          <cell r="G719">
            <v>37717</v>
          </cell>
          <cell r="O719" t="str">
            <v>2025-12</v>
          </cell>
        </row>
        <row r="720">
          <cell r="G720">
            <v>37765</v>
          </cell>
          <cell r="O720" t="str">
            <v>2026-01</v>
          </cell>
        </row>
        <row r="721">
          <cell r="G721">
            <v>57824</v>
          </cell>
          <cell r="O721" t="str">
            <v>2025-11</v>
          </cell>
        </row>
        <row r="722">
          <cell r="G722">
            <v>58292</v>
          </cell>
          <cell r="O722" t="str">
            <v>2025-12</v>
          </cell>
        </row>
        <row r="723">
          <cell r="G723">
            <v>66684</v>
          </cell>
          <cell r="O723" t="str">
            <v>2025-12</v>
          </cell>
        </row>
        <row r="724">
          <cell r="G724">
            <v>51145</v>
          </cell>
          <cell r="O724" t="str">
            <v>2025-12</v>
          </cell>
        </row>
        <row r="725">
          <cell r="G725">
            <v>531206</v>
          </cell>
          <cell r="O725" t="str">
            <v>2025-11</v>
          </cell>
        </row>
        <row r="726">
          <cell r="G726">
            <v>1003677</v>
          </cell>
          <cell r="O726" t="str">
            <v>2025-12</v>
          </cell>
        </row>
        <row r="727">
          <cell r="G727">
            <v>1009819</v>
          </cell>
          <cell r="O727" t="str">
            <v>2025-12</v>
          </cell>
        </row>
        <row r="728">
          <cell r="G728">
            <v>1388712</v>
          </cell>
          <cell r="O728" t="str">
            <v>2025-12</v>
          </cell>
        </row>
        <row r="729">
          <cell r="G729">
            <v>1389315</v>
          </cell>
          <cell r="O729" t="str">
            <v>2025-11</v>
          </cell>
        </row>
        <row r="730">
          <cell r="G730">
            <v>1391901</v>
          </cell>
          <cell r="O730" t="str">
            <v>2025-12</v>
          </cell>
        </row>
        <row r="731">
          <cell r="G731">
            <v>1393870</v>
          </cell>
          <cell r="O731" t="str">
            <v>2025-12</v>
          </cell>
        </row>
        <row r="732">
          <cell r="G732">
            <v>1396507</v>
          </cell>
          <cell r="O732" t="str">
            <v>2025-12</v>
          </cell>
        </row>
        <row r="733">
          <cell r="G733">
            <v>1402604</v>
          </cell>
          <cell r="O733" t="str">
            <v>2026-01</v>
          </cell>
        </row>
        <row r="734">
          <cell r="G734">
            <v>1469482</v>
          </cell>
          <cell r="O734" t="str">
            <v>2025-11</v>
          </cell>
        </row>
        <row r="735">
          <cell r="G735">
            <v>1469484</v>
          </cell>
          <cell r="O735" t="str">
            <v>2025-11</v>
          </cell>
        </row>
        <row r="736">
          <cell r="G736">
            <v>1469498</v>
          </cell>
          <cell r="O736" t="str">
            <v>2025-11</v>
          </cell>
        </row>
        <row r="737">
          <cell r="G737">
            <v>1469499</v>
          </cell>
          <cell r="O737" t="str">
            <v>2025-11</v>
          </cell>
        </row>
        <row r="738">
          <cell r="G738">
            <v>1469512</v>
          </cell>
          <cell r="O738" t="str">
            <v>2025-11</v>
          </cell>
        </row>
        <row r="739">
          <cell r="G739">
            <v>1469516</v>
          </cell>
          <cell r="O739" t="str">
            <v>2025-11</v>
          </cell>
        </row>
        <row r="740">
          <cell r="G740">
            <v>1469521</v>
          </cell>
          <cell r="O740" t="str">
            <v>2025-11</v>
          </cell>
        </row>
        <row r="741">
          <cell r="G741">
            <v>1469526</v>
          </cell>
          <cell r="O741" t="str">
            <v>2025-11</v>
          </cell>
        </row>
        <row r="742">
          <cell r="G742">
            <v>1469530</v>
          </cell>
          <cell r="O742" t="str">
            <v>2025-11</v>
          </cell>
        </row>
        <row r="743">
          <cell r="G743">
            <v>1469534</v>
          </cell>
          <cell r="O743" t="str">
            <v>2025-11</v>
          </cell>
        </row>
        <row r="744">
          <cell r="G744">
            <v>1469546</v>
          </cell>
          <cell r="O744" t="str">
            <v>2025-11</v>
          </cell>
        </row>
        <row r="745">
          <cell r="G745">
            <v>1469569</v>
          </cell>
          <cell r="O745" t="str">
            <v>2025-11</v>
          </cell>
        </row>
        <row r="746">
          <cell r="G746">
            <v>1472894</v>
          </cell>
          <cell r="O746" t="str">
            <v>2025-11</v>
          </cell>
        </row>
        <row r="747">
          <cell r="G747">
            <v>1475760</v>
          </cell>
          <cell r="O747" t="str">
            <v>2025-12</v>
          </cell>
        </row>
        <row r="748">
          <cell r="G748">
            <v>1475762</v>
          </cell>
          <cell r="O748" t="str">
            <v>2025-12</v>
          </cell>
        </row>
        <row r="749">
          <cell r="G749">
            <v>1475768</v>
          </cell>
          <cell r="O749" t="str">
            <v>2025-12</v>
          </cell>
        </row>
        <row r="750">
          <cell r="G750">
            <v>1475772</v>
          </cell>
          <cell r="O750" t="str">
            <v>2025-12</v>
          </cell>
        </row>
        <row r="751">
          <cell r="G751">
            <v>1475816</v>
          </cell>
          <cell r="O751" t="str">
            <v>2025-12</v>
          </cell>
        </row>
        <row r="752">
          <cell r="G752">
            <v>1475824</v>
          </cell>
          <cell r="O752" t="str">
            <v>2025-12</v>
          </cell>
        </row>
        <row r="753">
          <cell r="G753">
            <v>1476275</v>
          </cell>
          <cell r="O753" t="str">
            <v>2025-12</v>
          </cell>
        </row>
        <row r="754">
          <cell r="G754">
            <v>1481664</v>
          </cell>
          <cell r="O754" t="str">
            <v>2025-12</v>
          </cell>
        </row>
        <row r="755">
          <cell r="G755">
            <v>1482157</v>
          </cell>
          <cell r="O755" t="str">
            <v>2025-12</v>
          </cell>
        </row>
        <row r="756">
          <cell r="G756">
            <v>1482897</v>
          </cell>
          <cell r="O756" t="str">
            <v>2025-12</v>
          </cell>
        </row>
        <row r="757">
          <cell r="G757">
            <v>1483227</v>
          </cell>
          <cell r="O757" t="str">
            <v>2026-01</v>
          </cell>
        </row>
        <row r="758">
          <cell r="G758">
            <v>1483679</v>
          </cell>
          <cell r="O758" t="str">
            <v>2026-01</v>
          </cell>
        </row>
        <row r="759">
          <cell r="G759">
            <v>1483692</v>
          </cell>
          <cell r="O759" t="str">
            <v>2026-01</v>
          </cell>
        </row>
        <row r="760">
          <cell r="G760">
            <v>456784</v>
          </cell>
          <cell r="O760" t="str">
            <v>2025-11</v>
          </cell>
        </row>
        <row r="761">
          <cell r="G761">
            <v>518391</v>
          </cell>
          <cell r="O761" t="str">
            <v>2025-12</v>
          </cell>
        </row>
        <row r="762">
          <cell r="G762">
            <v>819256</v>
          </cell>
          <cell r="O762" t="str">
            <v>2025-12</v>
          </cell>
        </row>
        <row r="763">
          <cell r="G763">
            <v>826253</v>
          </cell>
          <cell r="O763" t="str">
            <v>2025-11</v>
          </cell>
        </row>
        <row r="764">
          <cell r="G764">
            <v>828097</v>
          </cell>
          <cell r="O764" t="str">
            <v>2025-12</v>
          </cell>
        </row>
        <row r="765">
          <cell r="G765" t="str">
            <v>AEV181</v>
          </cell>
          <cell r="O765" t="str">
            <v>2025-10</v>
          </cell>
        </row>
        <row r="766">
          <cell r="G766" t="str">
            <v>RTA1F020</v>
          </cell>
          <cell r="O766" t="str">
            <v>2025-10</v>
          </cell>
        </row>
        <row r="767">
          <cell r="G767" t="str">
            <v>RTA2P240</v>
          </cell>
          <cell r="O767" t="str">
            <v>2025-10</v>
          </cell>
        </row>
        <row r="768">
          <cell r="G768" t="str">
            <v>RTA9G370</v>
          </cell>
          <cell r="O768" t="str">
            <v>2025-09</v>
          </cell>
        </row>
        <row r="769">
          <cell r="G769" t="str">
            <v>RTAAS073</v>
          </cell>
          <cell r="O769" t="str">
            <v>2025-11</v>
          </cell>
        </row>
        <row r="770">
          <cell r="G770" t="str">
            <v>RTADS687</v>
          </cell>
          <cell r="O770" t="str">
            <v>2025-10</v>
          </cell>
        </row>
        <row r="771">
          <cell r="G771" t="str">
            <v>RTAHP476</v>
          </cell>
          <cell r="O771" t="str">
            <v>2025-09</v>
          </cell>
        </row>
        <row r="772">
          <cell r="G772" t="str">
            <v>RTAMJ708</v>
          </cell>
          <cell r="O772" t="str">
            <v>2025-10</v>
          </cell>
        </row>
        <row r="773">
          <cell r="G773" t="str">
            <v>RTAUL131</v>
          </cell>
          <cell r="O773" t="str">
            <v>2025-10</v>
          </cell>
        </row>
        <row r="774">
          <cell r="G774" t="str">
            <v>RTAUW794</v>
          </cell>
          <cell r="O774" t="str">
            <v>2025-10</v>
          </cell>
        </row>
        <row r="775">
          <cell r="G775" t="str">
            <v>RTB2Z026</v>
          </cell>
          <cell r="O775" t="str">
            <v>2025-10</v>
          </cell>
        </row>
        <row r="776">
          <cell r="G776" t="str">
            <v>RTB6S433</v>
          </cell>
          <cell r="O776" t="str">
            <v>2025-11</v>
          </cell>
        </row>
        <row r="777">
          <cell r="G777" t="str">
            <v>RTBFW454</v>
          </cell>
          <cell r="O777" t="str">
            <v>2025-11</v>
          </cell>
        </row>
        <row r="778">
          <cell r="G778" t="str">
            <v>RTBHB103</v>
          </cell>
          <cell r="O778" t="str">
            <v>2025-10</v>
          </cell>
        </row>
        <row r="779">
          <cell r="G779" t="str">
            <v>RTBLG378</v>
          </cell>
          <cell r="O779" t="str">
            <v>2025-11</v>
          </cell>
        </row>
        <row r="780">
          <cell r="G780" t="str">
            <v>RTC0Z521</v>
          </cell>
          <cell r="O780" t="str">
            <v>2025-11</v>
          </cell>
        </row>
        <row r="781">
          <cell r="G781" t="str">
            <v>RTC4G555</v>
          </cell>
          <cell r="O781" t="str">
            <v>2025-10</v>
          </cell>
        </row>
        <row r="782">
          <cell r="G782" t="str">
            <v>RTC9V070</v>
          </cell>
          <cell r="O782" t="str">
            <v>2025-10</v>
          </cell>
        </row>
        <row r="783">
          <cell r="G783" t="str">
            <v>RTD5H463</v>
          </cell>
          <cell r="O783" t="str">
            <v>2025-10</v>
          </cell>
        </row>
        <row r="784">
          <cell r="G784" t="str">
            <v>RTD9M184</v>
          </cell>
          <cell r="O784" t="str">
            <v>2025-11</v>
          </cell>
        </row>
        <row r="785">
          <cell r="G785">
            <v>70195614</v>
          </cell>
          <cell r="O785" t="str">
            <v>2025-10</v>
          </cell>
        </row>
        <row r="786">
          <cell r="G786">
            <v>70197346</v>
          </cell>
          <cell r="O786" t="str">
            <v>2025-11</v>
          </cell>
        </row>
        <row r="787">
          <cell r="G787">
            <v>70200802</v>
          </cell>
          <cell r="O787" t="str">
            <v>2025-11</v>
          </cell>
        </row>
        <row r="788">
          <cell r="G788">
            <v>70202045</v>
          </cell>
          <cell r="O788" t="str">
            <v>2025-12</v>
          </cell>
        </row>
        <row r="789">
          <cell r="G789">
            <v>70193515</v>
          </cell>
          <cell r="O789" t="str">
            <v>2025-12</v>
          </cell>
        </row>
        <row r="790">
          <cell r="G790">
            <v>70193560</v>
          </cell>
          <cell r="O790" t="str">
            <v>2025-12</v>
          </cell>
        </row>
        <row r="791">
          <cell r="G791">
            <v>70193717</v>
          </cell>
          <cell r="O791" t="str">
            <v>2025-12</v>
          </cell>
        </row>
        <row r="792">
          <cell r="G792">
            <v>70193724</v>
          </cell>
          <cell r="O792" t="str">
            <v>2025-12</v>
          </cell>
        </row>
        <row r="793">
          <cell r="G793">
            <v>70194434</v>
          </cell>
          <cell r="O793" t="str">
            <v>2025-12</v>
          </cell>
        </row>
        <row r="794">
          <cell r="G794">
            <v>70194542</v>
          </cell>
          <cell r="O794" t="str">
            <v>2025-12</v>
          </cell>
        </row>
        <row r="795">
          <cell r="G795">
            <v>70197364</v>
          </cell>
          <cell r="O795" t="str">
            <v>2025-12</v>
          </cell>
        </row>
        <row r="796">
          <cell r="G796">
            <v>70198062</v>
          </cell>
          <cell r="O796" t="str">
            <v>2026-01</v>
          </cell>
        </row>
        <row r="797">
          <cell r="G797">
            <v>70199014</v>
          </cell>
          <cell r="O797" t="str">
            <v>2026-01</v>
          </cell>
        </row>
        <row r="798">
          <cell r="G798">
            <v>70199361</v>
          </cell>
          <cell r="O798" t="str">
            <v>2026-01</v>
          </cell>
        </row>
        <row r="799">
          <cell r="G799">
            <v>70199962</v>
          </cell>
          <cell r="O799" t="str">
            <v>2025-12</v>
          </cell>
        </row>
        <row r="800">
          <cell r="G800" t="str">
            <v>A3S207</v>
          </cell>
          <cell r="O800" t="str">
            <v>2025-09</v>
          </cell>
        </row>
        <row r="801">
          <cell r="G801" t="str">
            <v>A7B517</v>
          </cell>
          <cell r="O801" t="str">
            <v>2025-08</v>
          </cell>
        </row>
        <row r="802">
          <cell r="G802" t="str">
            <v>A9L247</v>
          </cell>
          <cell r="O802" t="str">
            <v>2025-09</v>
          </cell>
        </row>
        <row r="803">
          <cell r="G803" t="str">
            <v>AAN199</v>
          </cell>
          <cell r="O803" t="str">
            <v>2025-10</v>
          </cell>
        </row>
        <row r="804">
          <cell r="G804" t="str">
            <v>AAP421</v>
          </cell>
          <cell r="O804" t="str">
            <v>2025-09</v>
          </cell>
        </row>
        <row r="805">
          <cell r="G805" t="str">
            <v>ADJ538</v>
          </cell>
          <cell r="O805" t="str">
            <v>2026-01</v>
          </cell>
        </row>
        <row r="806">
          <cell r="G806" t="str">
            <v>AFL791</v>
          </cell>
          <cell r="O806" t="str">
            <v>2025-10</v>
          </cell>
        </row>
        <row r="807">
          <cell r="G807" t="str">
            <v>AHH632</v>
          </cell>
          <cell r="O807" t="str">
            <v>2025-09</v>
          </cell>
        </row>
        <row r="808">
          <cell r="G808" t="str">
            <v>AJP508</v>
          </cell>
          <cell r="O808" t="str">
            <v>2025-08</v>
          </cell>
        </row>
        <row r="809">
          <cell r="G809" t="str">
            <v>AJS447</v>
          </cell>
          <cell r="O809" t="str">
            <v>2025-08</v>
          </cell>
        </row>
        <row r="810">
          <cell r="G810" t="str">
            <v>ALO120</v>
          </cell>
          <cell r="O810" t="str">
            <v>2025-12</v>
          </cell>
        </row>
        <row r="811">
          <cell r="G811" t="str">
            <v>AMB237</v>
          </cell>
          <cell r="O811" t="str">
            <v>2025-10</v>
          </cell>
        </row>
        <row r="812">
          <cell r="G812" t="str">
            <v>AMC097</v>
          </cell>
          <cell r="O812" t="str">
            <v>2025-09</v>
          </cell>
        </row>
        <row r="813">
          <cell r="G813" t="str">
            <v>APN218</v>
          </cell>
          <cell r="O813" t="str">
            <v>2025-09</v>
          </cell>
        </row>
        <row r="814">
          <cell r="G814" t="str">
            <v>ATC433</v>
          </cell>
          <cell r="O814" t="str">
            <v>2025-11</v>
          </cell>
        </row>
        <row r="815">
          <cell r="G815" t="str">
            <v>ATN502</v>
          </cell>
          <cell r="O815" t="str">
            <v>2025-11</v>
          </cell>
        </row>
        <row r="816">
          <cell r="G816" t="str">
            <v>AZB668</v>
          </cell>
          <cell r="O816" t="str">
            <v>2025-10</v>
          </cell>
        </row>
        <row r="817">
          <cell r="G817" t="str">
            <v>B0E138</v>
          </cell>
          <cell r="O817" t="str">
            <v>2025-08</v>
          </cell>
        </row>
        <row r="818">
          <cell r="G818" t="str">
            <v>B3O006</v>
          </cell>
          <cell r="O818" t="str">
            <v>2025-10</v>
          </cell>
        </row>
        <row r="819">
          <cell r="G819" t="str">
            <v>B6O559</v>
          </cell>
          <cell r="O819" t="str">
            <v>2025-10</v>
          </cell>
        </row>
        <row r="820">
          <cell r="G820" t="str">
            <v>BAD192</v>
          </cell>
          <cell r="O820" t="str">
            <v>2025-10</v>
          </cell>
        </row>
        <row r="821">
          <cell r="G821" t="str">
            <v>BAE055</v>
          </cell>
          <cell r="O821" t="str">
            <v>2025-11</v>
          </cell>
        </row>
        <row r="822">
          <cell r="G822" t="str">
            <v>BBC646</v>
          </cell>
          <cell r="O822" t="str">
            <v>2025-09</v>
          </cell>
        </row>
        <row r="823">
          <cell r="G823" t="str">
            <v>BBQ844</v>
          </cell>
          <cell r="O823" t="str">
            <v>2025-10</v>
          </cell>
        </row>
        <row r="824">
          <cell r="G824" t="str">
            <v>BDV354</v>
          </cell>
          <cell r="O824" t="str">
            <v>2025-12</v>
          </cell>
        </row>
        <row r="825">
          <cell r="G825" t="str">
            <v>BEA016</v>
          </cell>
          <cell r="O825" t="str">
            <v>2025-09</v>
          </cell>
        </row>
        <row r="826">
          <cell r="G826" t="str">
            <v>BEJ563</v>
          </cell>
          <cell r="O826" t="str">
            <v>2025-09</v>
          </cell>
        </row>
        <row r="827">
          <cell r="G827" t="str">
            <v>BFL199</v>
          </cell>
          <cell r="O827" t="str">
            <v>2025-11</v>
          </cell>
        </row>
        <row r="828">
          <cell r="G828" t="str">
            <v>BFM293</v>
          </cell>
          <cell r="O828" t="str">
            <v>2025-11</v>
          </cell>
        </row>
        <row r="829">
          <cell r="G829" t="str">
            <v>BJU377</v>
          </cell>
          <cell r="O829" t="str">
            <v>2025-09</v>
          </cell>
        </row>
        <row r="830">
          <cell r="G830" t="str">
            <v>BJY315</v>
          </cell>
          <cell r="O830" t="str">
            <v>2025-10</v>
          </cell>
        </row>
        <row r="831">
          <cell r="G831" t="str">
            <v>BLA006</v>
          </cell>
          <cell r="O831" t="str">
            <v>2025-10</v>
          </cell>
        </row>
        <row r="832">
          <cell r="G832" t="str">
            <v>BLF002</v>
          </cell>
          <cell r="O832" t="str">
            <v>2025-09</v>
          </cell>
        </row>
        <row r="833">
          <cell r="G833" t="str">
            <v>BLS329</v>
          </cell>
          <cell r="O833" t="str">
            <v>2025-09</v>
          </cell>
        </row>
        <row r="834">
          <cell r="G834" t="str">
            <v>BMS495</v>
          </cell>
          <cell r="O834" t="str">
            <v>2025-11</v>
          </cell>
        </row>
        <row r="835">
          <cell r="G835" t="str">
            <v>BMV270</v>
          </cell>
          <cell r="O835" t="str">
            <v>2025-11</v>
          </cell>
        </row>
        <row r="836">
          <cell r="G836" t="str">
            <v>BNQ572</v>
          </cell>
          <cell r="O836" t="str">
            <v>2025-12</v>
          </cell>
        </row>
        <row r="837">
          <cell r="G837" t="str">
            <v>BPM543</v>
          </cell>
          <cell r="O837" t="str">
            <v>2025-11</v>
          </cell>
        </row>
        <row r="838">
          <cell r="G838" t="str">
            <v>BSG484</v>
          </cell>
          <cell r="O838" t="str">
            <v>2025-10</v>
          </cell>
        </row>
        <row r="839">
          <cell r="G839" t="str">
            <v>BWL256</v>
          </cell>
          <cell r="O839" t="str">
            <v>2025-09</v>
          </cell>
        </row>
        <row r="840">
          <cell r="G840" t="str">
            <v>BWQ120</v>
          </cell>
          <cell r="O840" t="str">
            <v>2025-09</v>
          </cell>
        </row>
        <row r="841">
          <cell r="G841" t="str">
            <v>BWU070</v>
          </cell>
          <cell r="O841" t="str">
            <v>2025-10</v>
          </cell>
        </row>
        <row r="842">
          <cell r="G842" t="str">
            <v>BWY511</v>
          </cell>
          <cell r="O842" t="str">
            <v>2025-11</v>
          </cell>
        </row>
        <row r="843">
          <cell r="G843" t="str">
            <v>BXG008</v>
          </cell>
          <cell r="O843" t="str">
            <v>2025-11</v>
          </cell>
        </row>
        <row r="844">
          <cell r="G844" t="str">
            <v>C4L007</v>
          </cell>
          <cell r="O844" t="str">
            <v>2025-09</v>
          </cell>
        </row>
        <row r="845">
          <cell r="G845" t="str">
            <v>C5O144</v>
          </cell>
          <cell r="O845" t="str">
            <v>2025-09</v>
          </cell>
        </row>
        <row r="846">
          <cell r="G846" t="str">
            <v>C9K517</v>
          </cell>
          <cell r="O846" t="str">
            <v>2025-10</v>
          </cell>
        </row>
        <row r="847">
          <cell r="G847" t="str">
            <v>C9L599</v>
          </cell>
          <cell r="O847" t="str">
            <v>2025-09</v>
          </cell>
        </row>
        <row r="848">
          <cell r="G848" t="str">
            <v>C9V070</v>
          </cell>
          <cell r="O848" t="str">
            <v>2025-09</v>
          </cell>
        </row>
        <row r="849">
          <cell r="G849" t="str">
            <v>CBD235</v>
          </cell>
          <cell r="O849" t="str">
            <v>2025-09</v>
          </cell>
        </row>
        <row r="850">
          <cell r="G850" t="str">
            <v>CBZ290</v>
          </cell>
          <cell r="O850" t="str">
            <v>2025-11</v>
          </cell>
        </row>
        <row r="851">
          <cell r="G851" t="str">
            <v>CEU010</v>
          </cell>
          <cell r="O851" t="str">
            <v>2025-09</v>
          </cell>
        </row>
        <row r="852">
          <cell r="G852" t="str">
            <v>CIP457</v>
          </cell>
          <cell r="O852" t="str">
            <v>2025-08</v>
          </cell>
        </row>
        <row r="853">
          <cell r="G853" t="str">
            <v>D0D506</v>
          </cell>
          <cell r="O853" t="str">
            <v>2025-09</v>
          </cell>
        </row>
        <row r="854">
          <cell r="G854" t="str">
            <v>D0X312</v>
          </cell>
          <cell r="O854" t="str">
            <v>2025-09</v>
          </cell>
        </row>
        <row r="855">
          <cell r="G855" t="str">
            <v>D0Z390</v>
          </cell>
          <cell r="O855" t="str">
            <v>2025-10</v>
          </cell>
        </row>
        <row r="856">
          <cell r="G856" t="str">
            <v>D2M920</v>
          </cell>
          <cell r="O856" t="str">
            <v>2025-11</v>
          </cell>
        </row>
        <row r="857">
          <cell r="G857" t="str">
            <v>D3N260</v>
          </cell>
          <cell r="O857" t="str">
            <v>2025-09</v>
          </cell>
        </row>
        <row r="858">
          <cell r="G858" t="str">
            <v>D4R750</v>
          </cell>
          <cell r="O858" t="str">
            <v>2025-11</v>
          </cell>
        </row>
        <row r="859">
          <cell r="G859" t="str">
            <v>F1S249</v>
          </cell>
          <cell r="O859" t="str">
            <v>2025-11</v>
          </cell>
        </row>
        <row r="860">
          <cell r="G860" t="str">
            <v>F2G626</v>
          </cell>
          <cell r="O860" t="str">
            <v>2025-10</v>
          </cell>
        </row>
        <row r="861">
          <cell r="G861" t="str">
            <v>F4S657</v>
          </cell>
          <cell r="O861" t="str">
            <v>2025-10</v>
          </cell>
        </row>
        <row r="862">
          <cell r="G862" t="str">
            <v>ADZ694</v>
          </cell>
          <cell r="O862" t="str">
            <v>2025-10</v>
          </cell>
        </row>
        <row r="863">
          <cell r="G863" t="str">
            <v>AWB116</v>
          </cell>
          <cell r="O863" t="str">
            <v>2025-09</v>
          </cell>
        </row>
        <row r="864">
          <cell r="G864" t="str">
            <v>RTA3R369</v>
          </cell>
          <cell r="O864" t="str">
            <v>2025-09</v>
          </cell>
        </row>
        <row r="865">
          <cell r="G865" t="str">
            <v>RTADJ538</v>
          </cell>
          <cell r="O865" t="str">
            <v>2025-11</v>
          </cell>
        </row>
        <row r="866">
          <cell r="G866" t="str">
            <v>RTAMJ691</v>
          </cell>
          <cell r="O866" t="str">
            <v>2025-10</v>
          </cell>
        </row>
        <row r="867">
          <cell r="G867" t="str">
            <v>RTAVP298</v>
          </cell>
          <cell r="O867" t="str">
            <v>2025-10</v>
          </cell>
        </row>
        <row r="868">
          <cell r="G868" t="str">
            <v>RTAZZ295</v>
          </cell>
          <cell r="O868" t="str">
            <v>2025-08</v>
          </cell>
        </row>
        <row r="869">
          <cell r="G869" t="str">
            <v>RTBAZ056</v>
          </cell>
          <cell r="O869" t="str">
            <v>2025-09</v>
          </cell>
        </row>
        <row r="870">
          <cell r="G870" t="str">
            <v>RTBBC646</v>
          </cell>
          <cell r="O870" t="str">
            <v>2025-09</v>
          </cell>
        </row>
        <row r="871">
          <cell r="G871" t="str">
            <v>RTBCF096</v>
          </cell>
          <cell r="O871" t="str">
            <v>2025-09</v>
          </cell>
        </row>
        <row r="872">
          <cell r="G872" t="str">
            <v>RTBHZ646</v>
          </cell>
          <cell r="O872" t="str">
            <v>2025-10</v>
          </cell>
        </row>
        <row r="873">
          <cell r="G873" t="str">
            <v>RTF2G626</v>
          </cell>
          <cell r="O873" t="str">
            <v>2025-11</v>
          </cell>
        </row>
        <row r="874">
          <cell r="G874" t="str">
            <v>ASJ220</v>
          </cell>
          <cell r="O874" t="str">
            <v>2025-08</v>
          </cell>
        </row>
        <row r="875">
          <cell r="G875" t="str">
            <v>C0B275</v>
          </cell>
          <cell r="O875" t="str">
            <v>2026-03</v>
          </cell>
        </row>
        <row r="876">
          <cell r="G876" t="str">
            <v>C4G133</v>
          </cell>
          <cell r="O876" t="str">
            <v>2026-07</v>
          </cell>
        </row>
        <row r="877">
          <cell r="G877" t="str">
            <v>CAG940</v>
          </cell>
          <cell r="O877" t="str">
            <v>2026-08</v>
          </cell>
        </row>
        <row r="878">
          <cell r="G878" t="str">
            <v>BONO_PROTECTA_MN</v>
          </cell>
          <cell r="O878" t="str">
            <v>2025-12</v>
          </cell>
        </row>
        <row r="879">
          <cell r="G879">
            <v>1000090659</v>
          </cell>
          <cell r="O879" t="str">
            <v>2025-11</v>
          </cell>
        </row>
        <row r="880">
          <cell r="G880">
            <v>1000105652</v>
          </cell>
          <cell r="O880" t="str">
            <v>2025-09</v>
          </cell>
        </row>
        <row r="881">
          <cell r="G881">
            <v>1000110992</v>
          </cell>
          <cell r="O881" t="str">
            <v>2025-10</v>
          </cell>
        </row>
        <row r="882">
          <cell r="G882">
            <v>1000124391</v>
          </cell>
          <cell r="O882" t="str">
            <v>2026-01</v>
          </cell>
        </row>
        <row r="883">
          <cell r="G883">
            <v>1000133119</v>
          </cell>
          <cell r="O883" t="str">
            <v>2025-11</v>
          </cell>
        </row>
        <row r="884">
          <cell r="G884">
            <v>1000138289</v>
          </cell>
          <cell r="O884" t="str">
            <v>2025-11</v>
          </cell>
        </row>
        <row r="885">
          <cell r="G885">
            <v>1000219167</v>
          </cell>
          <cell r="O885" t="str">
            <v>2025-11</v>
          </cell>
        </row>
        <row r="886">
          <cell r="G886">
            <v>1000219185</v>
          </cell>
          <cell r="O886" t="str">
            <v>2025-11</v>
          </cell>
        </row>
        <row r="887">
          <cell r="G887">
            <v>1000220222</v>
          </cell>
          <cell r="O887" t="str">
            <v>2025-11</v>
          </cell>
        </row>
        <row r="888">
          <cell r="G888">
            <v>1000235743</v>
          </cell>
          <cell r="O888" t="str">
            <v>2025-11</v>
          </cell>
        </row>
        <row r="889">
          <cell r="G889">
            <v>1000239959</v>
          </cell>
          <cell r="O889" t="str">
            <v>2025-10</v>
          </cell>
        </row>
        <row r="890">
          <cell r="G890">
            <v>1000242546</v>
          </cell>
          <cell r="O890" t="str">
            <v>2025-10</v>
          </cell>
        </row>
        <row r="891">
          <cell r="G891">
            <v>1000278097</v>
          </cell>
          <cell r="O891" t="str">
            <v>2025-11</v>
          </cell>
        </row>
        <row r="892">
          <cell r="G892">
            <v>1000280986</v>
          </cell>
          <cell r="O892" t="str">
            <v>2025-07</v>
          </cell>
        </row>
        <row r="893">
          <cell r="G893">
            <v>1000284654</v>
          </cell>
          <cell r="O893" t="str">
            <v>2025-09</v>
          </cell>
        </row>
        <row r="894">
          <cell r="G894">
            <v>1000285075</v>
          </cell>
          <cell r="O894" t="str">
            <v>2025-10</v>
          </cell>
        </row>
        <row r="895">
          <cell r="G895">
            <v>1000291441</v>
          </cell>
          <cell r="O895" t="str">
            <v>2025-10</v>
          </cell>
        </row>
        <row r="896">
          <cell r="G896">
            <v>1000293517</v>
          </cell>
          <cell r="O896" t="str">
            <v>2025-10</v>
          </cell>
        </row>
        <row r="897">
          <cell r="G897">
            <v>1000294332</v>
          </cell>
          <cell r="O897" t="str">
            <v>2025-09</v>
          </cell>
        </row>
        <row r="898">
          <cell r="G898">
            <v>1000296355</v>
          </cell>
          <cell r="O898" t="str">
            <v>2025-10</v>
          </cell>
        </row>
        <row r="899">
          <cell r="G899">
            <v>1000298702</v>
          </cell>
          <cell r="O899" t="str">
            <v>2025-10</v>
          </cell>
        </row>
        <row r="900">
          <cell r="G900">
            <v>1000298704</v>
          </cell>
          <cell r="O900" t="str">
            <v>2025-10</v>
          </cell>
        </row>
        <row r="901">
          <cell r="G901">
            <v>1000300026</v>
          </cell>
          <cell r="O901" t="str">
            <v>2025-10</v>
          </cell>
        </row>
        <row r="902">
          <cell r="G902">
            <v>1000300027</v>
          </cell>
          <cell r="O902" t="str">
            <v>2025-10</v>
          </cell>
        </row>
        <row r="903">
          <cell r="G903">
            <v>1000300030</v>
          </cell>
          <cell r="O903" t="str">
            <v>2025-10</v>
          </cell>
        </row>
        <row r="904">
          <cell r="G904">
            <v>1000300039</v>
          </cell>
          <cell r="O904" t="str">
            <v>2025-10</v>
          </cell>
        </row>
        <row r="905">
          <cell r="G905">
            <v>1000301522</v>
          </cell>
          <cell r="O905" t="str">
            <v>2025-11</v>
          </cell>
        </row>
        <row r="906">
          <cell r="G906">
            <v>1000302112</v>
          </cell>
          <cell r="O906" t="str">
            <v>2025-11</v>
          </cell>
        </row>
        <row r="907">
          <cell r="G907">
            <v>1000302116</v>
          </cell>
          <cell r="O907" t="str">
            <v>2025-11</v>
          </cell>
        </row>
        <row r="908">
          <cell r="G908">
            <v>64821</v>
          </cell>
          <cell r="O908" t="str">
            <v>2026-03</v>
          </cell>
        </row>
        <row r="909">
          <cell r="G909">
            <v>64822</v>
          </cell>
          <cell r="O909" t="str">
            <v>2026-03</v>
          </cell>
        </row>
        <row r="910">
          <cell r="G910">
            <v>6000005511</v>
          </cell>
          <cell r="O910" t="str">
            <v>2025-11</v>
          </cell>
        </row>
        <row r="911">
          <cell r="G911">
            <v>6000020344</v>
          </cell>
          <cell r="O911" t="str">
            <v>2026-08</v>
          </cell>
        </row>
        <row r="912">
          <cell r="G912">
            <v>6000023920</v>
          </cell>
          <cell r="O912" t="str">
            <v>2025-12</v>
          </cell>
        </row>
        <row r="913">
          <cell r="G913">
            <v>6000027861</v>
          </cell>
          <cell r="O913" t="str">
            <v>2026-05</v>
          </cell>
        </row>
        <row r="914">
          <cell r="G914">
            <v>6000028666</v>
          </cell>
          <cell r="O914" t="str">
            <v>2026-06</v>
          </cell>
        </row>
        <row r="915">
          <cell r="G915">
            <v>6000029247</v>
          </cell>
          <cell r="O915" t="str">
            <v>2026-07</v>
          </cell>
        </row>
        <row r="916">
          <cell r="G916">
            <v>105651</v>
          </cell>
          <cell r="O916" t="str">
            <v>2025-10</v>
          </cell>
        </row>
        <row r="917">
          <cell r="G917">
            <v>107385</v>
          </cell>
          <cell r="O917" t="str">
            <v>2025-12</v>
          </cell>
        </row>
        <row r="918">
          <cell r="G918">
            <v>108960</v>
          </cell>
          <cell r="O918" t="str">
            <v>2026-02</v>
          </cell>
        </row>
        <row r="919">
          <cell r="G919">
            <v>1128439</v>
          </cell>
          <cell r="O919" t="str">
            <v>2025-11</v>
          </cell>
        </row>
        <row r="920">
          <cell r="G920">
            <v>1128639</v>
          </cell>
          <cell r="O920" t="str">
            <v>2026-04</v>
          </cell>
        </row>
        <row r="921">
          <cell r="G921">
            <v>1128788</v>
          </cell>
          <cell r="O921" t="str">
            <v>2026-01</v>
          </cell>
        </row>
        <row r="922">
          <cell r="G922">
            <v>1128870</v>
          </cell>
          <cell r="O922" t="str">
            <v>2025-10</v>
          </cell>
        </row>
        <row r="923">
          <cell r="G923">
            <v>1129217</v>
          </cell>
          <cell r="O923" t="str">
            <v>2025-11</v>
          </cell>
        </row>
        <row r="924">
          <cell r="G924">
            <v>1129358</v>
          </cell>
          <cell r="O924" t="str">
            <v>2025-10</v>
          </cell>
        </row>
        <row r="925">
          <cell r="G925">
            <v>1129428</v>
          </cell>
          <cell r="O925" t="str">
            <v>2025-12</v>
          </cell>
        </row>
        <row r="926">
          <cell r="G926">
            <v>1129690</v>
          </cell>
          <cell r="O926" t="str">
            <v>2026-06</v>
          </cell>
        </row>
        <row r="927">
          <cell r="G927">
            <v>1130985</v>
          </cell>
          <cell r="O927" t="str">
            <v>2025-10</v>
          </cell>
        </row>
        <row r="928">
          <cell r="G928">
            <v>1131072</v>
          </cell>
          <cell r="O928" t="str">
            <v>2025-11</v>
          </cell>
        </row>
        <row r="929">
          <cell r="G929">
            <v>1131099</v>
          </cell>
          <cell r="O929" t="str">
            <v>2025-11</v>
          </cell>
        </row>
        <row r="930">
          <cell r="G930">
            <v>1131565</v>
          </cell>
          <cell r="O930" t="str">
            <v>2025-11</v>
          </cell>
        </row>
        <row r="931">
          <cell r="G931">
            <v>1131755</v>
          </cell>
          <cell r="O931" t="str">
            <v>2025-11</v>
          </cell>
        </row>
        <row r="932">
          <cell r="G932">
            <v>117205</v>
          </cell>
          <cell r="O932" t="str">
            <v>2026-03</v>
          </cell>
        </row>
        <row r="933">
          <cell r="G933">
            <v>119880</v>
          </cell>
          <cell r="O933" t="str">
            <v>2026-01</v>
          </cell>
        </row>
        <row r="934">
          <cell r="G934">
            <v>122903</v>
          </cell>
          <cell r="O934" t="str">
            <v>2025-11</v>
          </cell>
        </row>
        <row r="935">
          <cell r="G935">
            <v>123064</v>
          </cell>
          <cell r="O935" t="str">
            <v>2026-04</v>
          </cell>
        </row>
        <row r="936">
          <cell r="G936">
            <v>124288</v>
          </cell>
          <cell r="O936" t="str">
            <v>2025-11</v>
          </cell>
        </row>
        <row r="937">
          <cell r="G937">
            <v>126783</v>
          </cell>
          <cell r="O937" t="str">
            <v>2025-11</v>
          </cell>
        </row>
        <row r="938">
          <cell r="G938">
            <v>126806</v>
          </cell>
          <cell r="O938" t="str">
            <v>2025-11</v>
          </cell>
        </row>
        <row r="939">
          <cell r="G939">
            <v>127316</v>
          </cell>
          <cell r="O939" t="str">
            <v>2026-01</v>
          </cell>
        </row>
        <row r="940">
          <cell r="G940">
            <v>127469</v>
          </cell>
          <cell r="O940" t="str">
            <v>2026-01</v>
          </cell>
        </row>
        <row r="941">
          <cell r="G941">
            <v>127852</v>
          </cell>
          <cell r="O941" t="str">
            <v>2026-02</v>
          </cell>
        </row>
        <row r="942">
          <cell r="G942">
            <v>61271</v>
          </cell>
          <cell r="O942" t="str">
            <v>2025-12</v>
          </cell>
        </row>
        <row r="943">
          <cell r="G943">
            <v>63344</v>
          </cell>
          <cell r="O943" t="str">
            <v>2025-10</v>
          </cell>
        </row>
        <row r="944">
          <cell r="G944">
            <v>73906</v>
          </cell>
          <cell r="O944" t="str">
            <v>2025-11</v>
          </cell>
        </row>
        <row r="945">
          <cell r="G945">
            <v>10125840</v>
          </cell>
          <cell r="O945" t="str">
            <v>2026-01</v>
          </cell>
        </row>
        <row r="946">
          <cell r="G946">
            <v>10704573</v>
          </cell>
          <cell r="O946" t="str">
            <v>2025-09</v>
          </cell>
        </row>
        <row r="947">
          <cell r="G947">
            <v>11159567</v>
          </cell>
          <cell r="O947" t="str">
            <v>2026-09</v>
          </cell>
        </row>
        <row r="948">
          <cell r="G948">
            <v>138477</v>
          </cell>
          <cell r="O948" t="str">
            <v>2026-02</v>
          </cell>
        </row>
        <row r="949">
          <cell r="G949">
            <v>252</v>
          </cell>
          <cell r="O949" t="str">
            <v>2026-10</v>
          </cell>
        </row>
        <row r="950">
          <cell r="G950">
            <v>600002575</v>
          </cell>
          <cell r="O950" t="str">
            <v>2026-03</v>
          </cell>
        </row>
        <row r="951">
          <cell r="G951">
            <v>600017984</v>
          </cell>
          <cell r="O951" t="str">
            <v>2026-05</v>
          </cell>
        </row>
        <row r="952">
          <cell r="G952">
            <v>600085212</v>
          </cell>
          <cell r="O952" t="str">
            <v>2026-09</v>
          </cell>
        </row>
        <row r="953">
          <cell r="G953">
            <v>600097943</v>
          </cell>
          <cell r="O953" t="str">
            <v>2025-11</v>
          </cell>
        </row>
        <row r="954">
          <cell r="G954">
            <v>600183559</v>
          </cell>
          <cell r="O954" t="str">
            <v>2026-09</v>
          </cell>
        </row>
        <row r="955">
          <cell r="G955">
            <v>600197916</v>
          </cell>
          <cell r="O955" t="str">
            <v>2026-03</v>
          </cell>
        </row>
        <row r="956">
          <cell r="G956">
            <v>600470486</v>
          </cell>
          <cell r="O956" t="str">
            <v>2026-04</v>
          </cell>
        </row>
        <row r="957">
          <cell r="G957">
            <v>600807780</v>
          </cell>
          <cell r="O957" t="str">
            <v>2025-11</v>
          </cell>
        </row>
        <row r="958">
          <cell r="G958">
            <v>601162506</v>
          </cell>
          <cell r="O958" t="str">
            <v>2026-07</v>
          </cell>
        </row>
        <row r="959">
          <cell r="G959">
            <v>601379578</v>
          </cell>
          <cell r="O959" t="str">
            <v>2026-02</v>
          </cell>
        </row>
        <row r="960">
          <cell r="G960">
            <v>601394542</v>
          </cell>
          <cell r="O960" t="str">
            <v>2026-10</v>
          </cell>
        </row>
        <row r="961">
          <cell r="G961">
            <v>601754095</v>
          </cell>
          <cell r="O961" t="str">
            <v>2026-09</v>
          </cell>
        </row>
        <row r="962">
          <cell r="G962">
            <v>602035083</v>
          </cell>
          <cell r="O962" t="str">
            <v>2026-04</v>
          </cell>
        </row>
        <row r="963">
          <cell r="G963">
            <v>602671494</v>
          </cell>
          <cell r="O963" t="str">
            <v>2026-06</v>
          </cell>
        </row>
        <row r="964">
          <cell r="G964">
            <v>602760580</v>
          </cell>
          <cell r="O964" t="str">
            <v>2026-09</v>
          </cell>
        </row>
        <row r="965">
          <cell r="G965">
            <v>602945212</v>
          </cell>
          <cell r="O965" t="str">
            <v>2026-06</v>
          </cell>
        </row>
        <row r="966">
          <cell r="G966">
            <v>602985781</v>
          </cell>
          <cell r="O966" t="str">
            <v>2026-04</v>
          </cell>
        </row>
        <row r="967">
          <cell r="G967">
            <v>603060377</v>
          </cell>
          <cell r="O967" t="str">
            <v>2026-04</v>
          </cell>
        </row>
        <row r="968">
          <cell r="G968">
            <v>603094428</v>
          </cell>
          <cell r="O968" t="str">
            <v>2026-04</v>
          </cell>
        </row>
        <row r="969">
          <cell r="G969">
            <v>603197638</v>
          </cell>
          <cell r="O969" t="str">
            <v>2026-05</v>
          </cell>
        </row>
        <row r="970">
          <cell r="G970">
            <v>603343090</v>
          </cell>
          <cell r="O970" t="str">
            <v>2026-08</v>
          </cell>
        </row>
        <row r="971">
          <cell r="G971">
            <v>603561133</v>
          </cell>
          <cell r="O971" t="str">
            <v>2025-12</v>
          </cell>
        </row>
        <row r="972">
          <cell r="G972">
            <v>604063419</v>
          </cell>
          <cell r="O972" t="str">
            <v>2026-01</v>
          </cell>
        </row>
        <row r="973">
          <cell r="G973">
            <v>604374016</v>
          </cell>
          <cell r="O973" t="str">
            <v>2026-02</v>
          </cell>
        </row>
        <row r="974">
          <cell r="G974">
            <v>604465064</v>
          </cell>
          <cell r="O974" t="str">
            <v>2026-05</v>
          </cell>
        </row>
        <row r="975">
          <cell r="G975">
            <v>604614948</v>
          </cell>
          <cell r="O975" t="str">
            <v>2026-07</v>
          </cell>
        </row>
        <row r="976">
          <cell r="G976">
            <v>605484278</v>
          </cell>
          <cell r="O976" t="str">
            <v>2026-03</v>
          </cell>
        </row>
        <row r="977">
          <cell r="G977">
            <v>7165022</v>
          </cell>
          <cell r="O977" t="str">
            <v>2026-09</v>
          </cell>
        </row>
        <row r="978">
          <cell r="G978">
            <v>7204452</v>
          </cell>
          <cell r="O978" t="str">
            <v>2026-06</v>
          </cell>
        </row>
        <row r="979">
          <cell r="G979">
            <v>7322689</v>
          </cell>
          <cell r="O979" t="str">
            <v>2026-09</v>
          </cell>
        </row>
        <row r="980">
          <cell r="G980">
            <v>7630054</v>
          </cell>
          <cell r="O980" t="str">
            <v>2026-05</v>
          </cell>
        </row>
        <row r="981">
          <cell r="G981">
            <v>7688196</v>
          </cell>
          <cell r="O981" t="str">
            <v>2026-03</v>
          </cell>
        </row>
        <row r="982">
          <cell r="G982">
            <v>8302835</v>
          </cell>
          <cell r="O982" t="str">
            <v>2026-04</v>
          </cell>
        </row>
        <row r="983">
          <cell r="G983">
            <v>9186421</v>
          </cell>
          <cell r="O983" t="str">
            <v>2026-04</v>
          </cell>
        </row>
        <row r="984">
          <cell r="G984">
            <v>9478549</v>
          </cell>
          <cell r="O984" t="str">
            <v>2026-07</v>
          </cell>
        </row>
        <row r="985">
          <cell r="G985">
            <v>10010150</v>
          </cell>
          <cell r="O985" t="str">
            <v>2026-02</v>
          </cell>
        </row>
        <row r="986">
          <cell r="G986">
            <v>100453822</v>
          </cell>
          <cell r="O986" t="str">
            <v>2026-05</v>
          </cell>
        </row>
        <row r="987">
          <cell r="G987">
            <v>10047738</v>
          </cell>
          <cell r="O987" t="str">
            <v>2026-05</v>
          </cell>
        </row>
        <row r="988">
          <cell r="G988">
            <v>100633102</v>
          </cell>
          <cell r="O988" t="str">
            <v>2026-02</v>
          </cell>
        </row>
        <row r="989">
          <cell r="G989">
            <v>10176</v>
          </cell>
          <cell r="O989" t="str">
            <v>2026-04</v>
          </cell>
        </row>
        <row r="990">
          <cell r="G990">
            <v>102586492</v>
          </cell>
          <cell r="O990" t="str">
            <v>2026-04</v>
          </cell>
        </row>
        <row r="991">
          <cell r="G991">
            <v>11099</v>
          </cell>
          <cell r="O991" t="str">
            <v>2026-03</v>
          </cell>
        </row>
        <row r="992">
          <cell r="G992">
            <v>125838535</v>
          </cell>
          <cell r="O992" t="str">
            <v>2026-02</v>
          </cell>
        </row>
        <row r="993">
          <cell r="G993">
            <v>126332061</v>
          </cell>
          <cell r="O993" t="str">
            <v>2026-09</v>
          </cell>
        </row>
        <row r="994">
          <cell r="G994">
            <v>126593710</v>
          </cell>
          <cell r="O994" t="str">
            <v>2025-11</v>
          </cell>
        </row>
        <row r="995">
          <cell r="G995">
            <v>126840024</v>
          </cell>
          <cell r="O995" t="str">
            <v>2026-05</v>
          </cell>
        </row>
        <row r="996">
          <cell r="G996">
            <v>128077</v>
          </cell>
          <cell r="O996" t="str">
            <v>2025-12</v>
          </cell>
        </row>
        <row r="997">
          <cell r="G997">
            <v>128645495</v>
          </cell>
          <cell r="O997" t="str">
            <v>2026-04</v>
          </cell>
        </row>
        <row r="998">
          <cell r="G998">
            <v>129210652</v>
          </cell>
          <cell r="O998" t="str">
            <v>2026-02</v>
          </cell>
        </row>
        <row r="999">
          <cell r="G999">
            <v>130943352</v>
          </cell>
          <cell r="O999" t="str">
            <v>2025-12</v>
          </cell>
        </row>
        <row r="1000">
          <cell r="G1000">
            <v>132551328</v>
          </cell>
          <cell r="O1000" t="str">
            <v>2025-12</v>
          </cell>
        </row>
        <row r="1001">
          <cell r="G1001">
            <v>133717781</v>
          </cell>
          <cell r="O1001" t="str">
            <v>2026-03</v>
          </cell>
        </row>
        <row r="1002">
          <cell r="G1002">
            <v>135252324</v>
          </cell>
          <cell r="O1002" t="str">
            <v>2026-09</v>
          </cell>
        </row>
        <row r="1003">
          <cell r="G1003">
            <v>182326</v>
          </cell>
          <cell r="O1003" t="str">
            <v>2026-08</v>
          </cell>
        </row>
        <row r="1004">
          <cell r="G1004">
            <v>2856</v>
          </cell>
          <cell r="O1004" t="str">
            <v>2026-07</v>
          </cell>
        </row>
        <row r="1005">
          <cell r="G1005">
            <v>322772</v>
          </cell>
          <cell r="O1005" t="str">
            <v>2025-09</v>
          </cell>
        </row>
        <row r="1006">
          <cell r="G1006">
            <v>328322</v>
          </cell>
          <cell r="O1006" t="str">
            <v>2026-05</v>
          </cell>
        </row>
        <row r="1007">
          <cell r="G1007">
            <v>9594737</v>
          </cell>
          <cell r="O1007" t="str">
            <v>2026-04</v>
          </cell>
        </row>
        <row r="1008">
          <cell r="G1008" t="str">
            <v>A2J369</v>
          </cell>
          <cell r="O1008" t="str">
            <v>2026-07</v>
          </cell>
        </row>
        <row r="1009">
          <cell r="G1009" t="str">
            <v>A2P240</v>
          </cell>
          <cell r="O1009" t="str">
            <v>2026-07</v>
          </cell>
        </row>
        <row r="1010">
          <cell r="G1010" t="str">
            <v>A4W359</v>
          </cell>
          <cell r="O1010" t="str">
            <v>2026-08</v>
          </cell>
        </row>
        <row r="1011">
          <cell r="G1011" t="str">
            <v>A8D173</v>
          </cell>
          <cell r="O1011" t="str">
            <v>2025-12</v>
          </cell>
        </row>
        <row r="1012">
          <cell r="G1012" t="str">
            <v>A9E037</v>
          </cell>
          <cell r="O1012" t="str">
            <v>2026-05</v>
          </cell>
        </row>
        <row r="1013">
          <cell r="G1013" t="str">
            <v>A9U551</v>
          </cell>
          <cell r="O1013" t="str">
            <v>2026-03</v>
          </cell>
        </row>
        <row r="1014">
          <cell r="G1014" t="str">
            <v>AAU299</v>
          </cell>
          <cell r="O1014" t="str">
            <v>2026-01</v>
          </cell>
        </row>
        <row r="1015">
          <cell r="G1015" t="str">
            <v>ACV589</v>
          </cell>
          <cell r="O1015" t="str">
            <v>2025-12</v>
          </cell>
        </row>
        <row r="1016">
          <cell r="G1016" t="str">
            <v>ADS687</v>
          </cell>
          <cell r="O1016" t="str">
            <v>2026-03</v>
          </cell>
        </row>
        <row r="1017">
          <cell r="G1017" t="str">
            <v>ADW315</v>
          </cell>
          <cell r="O1017" t="str">
            <v>2026-03</v>
          </cell>
        </row>
        <row r="1018">
          <cell r="G1018" t="str">
            <v>AEW199</v>
          </cell>
          <cell r="O1018" t="str">
            <v>2026-04</v>
          </cell>
        </row>
        <row r="1019">
          <cell r="G1019" t="str">
            <v>AFL582</v>
          </cell>
          <cell r="O1019" t="str">
            <v>2026-04</v>
          </cell>
        </row>
        <row r="1020">
          <cell r="G1020" t="str">
            <v>AHA677</v>
          </cell>
          <cell r="O1020" t="str">
            <v>2025-12</v>
          </cell>
        </row>
        <row r="1021">
          <cell r="G1021" t="str">
            <v>AHJ022</v>
          </cell>
          <cell r="O1021" t="str">
            <v>2025-12</v>
          </cell>
        </row>
        <row r="1022">
          <cell r="G1022" t="str">
            <v>AHY636</v>
          </cell>
          <cell r="O1022" t="str">
            <v>2026-07</v>
          </cell>
        </row>
        <row r="1023">
          <cell r="G1023" t="str">
            <v>AJS469</v>
          </cell>
          <cell r="O1023" t="str">
            <v>2026-08</v>
          </cell>
        </row>
        <row r="1024">
          <cell r="G1024" t="str">
            <v>AKQ105</v>
          </cell>
          <cell r="O1024" t="str">
            <v>2025-12</v>
          </cell>
        </row>
        <row r="1025">
          <cell r="G1025" t="str">
            <v>AKV397</v>
          </cell>
          <cell r="O1025" t="str">
            <v>2026-02</v>
          </cell>
        </row>
        <row r="1026">
          <cell r="G1026" t="str">
            <v>ALT506</v>
          </cell>
          <cell r="O1026" t="str">
            <v>2026-02</v>
          </cell>
        </row>
        <row r="1027">
          <cell r="G1027" t="str">
            <v>ALU201</v>
          </cell>
          <cell r="O1027" t="str">
            <v>2026-01</v>
          </cell>
        </row>
        <row r="1028">
          <cell r="G1028" t="str">
            <v>AMJ069</v>
          </cell>
          <cell r="O1028" t="str">
            <v>2026-08</v>
          </cell>
        </row>
        <row r="1029">
          <cell r="G1029" t="str">
            <v>AMP419</v>
          </cell>
          <cell r="O1029" t="str">
            <v>2026-03</v>
          </cell>
        </row>
        <row r="1030">
          <cell r="G1030" t="str">
            <v>AMV238</v>
          </cell>
          <cell r="O1030" t="str">
            <v>2026-03</v>
          </cell>
        </row>
        <row r="1031">
          <cell r="G1031" t="str">
            <v>ANF671</v>
          </cell>
          <cell r="O1031" t="str">
            <v>2026-03</v>
          </cell>
        </row>
        <row r="1032">
          <cell r="G1032" t="str">
            <v>ANK567</v>
          </cell>
          <cell r="O1032" t="str">
            <v>2026-08</v>
          </cell>
        </row>
        <row r="1033">
          <cell r="G1033" t="str">
            <v>ANO506</v>
          </cell>
          <cell r="O1033" t="str">
            <v>2026-03</v>
          </cell>
        </row>
        <row r="1034">
          <cell r="G1034" t="str">
            <v>ARS102</v>
          </cell>
          <cell r="O1034" t="str">
            <v>2026-08</v>
          </cell>
        </row>
        <row r="1035">
          <cell r="G1035" t="str">
            <v>ASJ120</v>
          </cell>
          <cell r="O1035" t="str">
            <v>2026-06</v>
          </cell>
        </row>
        <row r="1036">
          <cell r="G1036" t="str">
            <v>ATH482</v>
          </cell>
          <cell r="O1036" t="str">
            <v>2026-07</v>
          </cell>
        </row>
        <row r="1037">
          <cell r="G1037" t="str">
            <v>ATP521</v>
          </cell>
          <cell r="O1037" t="str">
            <v>2025-12</v>
          </cell>
        </row>
        <row r="1038">
          <cell r="G1038" t="str">
            <v>AUL131</v>
          </cell>
          <cell r="O1038" t="str">
            <v>2026-01</v>
          </cell>
        </row>
        <row r="1039">
          <cell r="G1039" t="str">
            <v>AUY586</v>
          </cell>
          <cell r="O1039" t="str">
            <v>2026-07</v>
          </cell>
        </row>
        <row r="1040">
          <cell r="G1040" t="str">
            <v>AVC244</v>
          </cell>
          <cell r="O1040" t="str">
            <v>2026-04</v>
          </cell>
        </row>
        <row r="1041">
          <cell r="G1041" t="str">
            <v>AVG035</v>
          </cell>
          <cell r="O1041" t="str">
            <v>2026-08</v>
          </cell>
        </row>
        <row r="1042">
          <cell r="G1042" t="str">
            <v>AVO619</v>
          </cell>
          <cell r="O1042" t="str">
            <v>2026-08</v>
          </cell>
        </row>
        <row r="1043">
          <cell r="G1043" t="str">
            <v>AVQ475</v>
          </cell>
          <cell r="O1043" t="str">
            <v>2026-03</v>
          </cell>
        </row>
        <row r="1044">
          <cell r="G1044" t="str">
            <v>AWF129</v>
          </cell>
          <cell r="O1044" t="str">
            <v>2026-01</v>
          </cell>
        </row>
        <row r="1045">
          <cell r="G1045" t="str">
            <v>AWY397</v>
          </cell>
          <cell r="O1045" t="str">
            <v>2026-08</v>
          </cell>
        </row>
        <row r="1046">
          <cell r="G1046" t="str">
            <v>AYB297</v>
          </cell>
          <cell r="O1046" t="str">
            <v>2025-12</v>
          </cell>
        </row>
        <row r="1047">
          <cell r="G1047" t="str">
            <v>AYC657</v>
          </cell>
          <cell r="O1047" t="str">
            <v>2026-08</v>
          </cell>
        </row>
        <row r="1048">
          <cell r="G1048" t="str">
            <v>AZQ456</v>
          </cell>
          <cell r="O1048" t="str">
            <v>2026-06</v>
          </cell>
        </row>
        <row r="1049">
          <cell r="G1049" t="str">
            <v>AZZ295</v>
          </cell>
          <cell r="O1049" t="str">
            <v>2026-01</v>
          </cell>
        </row>
        <row r="1050">
          <cell r="G1050" t="str">
            <v>B0K042</v>
          </cell>
          <cell r="O1050" t="str">
            <v>2026-07</v>
          </cell>
        </row>
        <row r="1051">
          <cell r="G1051" t="str">
            <v>B3C309</v>
          </cell>
          <cell r="O1051" t="str">
            <v>2026-06</v>
          </cell>
        </row>
        <row r="1052">
          <cell r="G1052" t="str">
            <v>B4R574</v>
          </cell>
          <cell r="O1052" t="str">
            <v>2026-03</v>
          </cell>
        </row>
        <row r="1053">
          <cell r="G1053" t="str">
            <v>B5M504</v>
          </cell>
          <cell r="O1053" t="str">
            <v>2026-06</v>
          </cell>
        </row>
        <row r="1054">
          <cell r="G1054" t="str">
            <v>BAB280</v>
          </cell>
          <cell r="O1054" t="str">
            <v>2026-02</v>
          </cell>
        </row>
        <row r="1055">
          <cell r="G1055" t="str">
            <v>BAD411</v>
          </cell>
          <cell r="O1055" t="str">
            <v>2026-03</v>
          </cell>
        </row>
        <row r="1056">
          <cell r="G1056" t="str">
            <v>BAE142</v>
          </cell>
          <cell r="O1056" t="str">
            <v>2026-03</v>
          </cell>
        </row>
        <row r="1057">
          <cell r="G1057" t="str">
            <v>BAT018</v>
          </cell>
          <cell r="O1057" t="str">
            <v>2026-02</v>
          </cell>
        </row>
        <row r="1058">
          <cell r="G1058" t="str">
            <v>BAT082</v>
          </cell>
          <cell r="O1058" t="str">
            <v>2026-05</v>
          </cell>
        </row>
        <row r="1059">
          <cell r="G1059" t="str">
            <v>BBT190</v>
          </cell>
          <cell r="O1059" t="str">
            <v>2026-03</v>
          </cell>
        </row>
        <row r="1060">
          <cell r="G1060" t="str">
            <v>BCH463</v>
          </cell>
          <cell r="O1060" t="str">
            <v>2026-05</v>
          </cell>
        </row>
        <row r="1061">
          <cell r="G1061" t="str">
            <v>BCV119</v>
          </cell>
          <cell r="O1061" t="str">
            <v>2026-05</v>
          </cell>
        </row>
        <row r="1062">
          <cell r="G1062" t="str">
            <v>BDK790</v>
          </cell>
          <cell r="O1062" t="str">
            <v>2025-12</v>
          </cell>
        </row>
        <row r="1063">
          <cell r="G1063" t="str">
            <v>BEF624</v>
          </cell>
          <cell r="O1063" t="str">
            <v>2026-08</v>
          </cell>
        </row>
        <row r="1064">
          <cell r="G1064" t="str">
            <v>BFZ407</v>
          </cell>
          <cell r="O1064" t="str">
            <v>2026-01</v>
          </cell>
        </row>
        <row r="1065">
          <cell r="G1065" t="str">
            <v>BHG112</v>
          </cell>
          <cell r="O1065" t="str">
            <v>2026-04</v>
          </cell>
        </row>
        <row r="1066">
          <cell r="G1066" t="str">
            <v>BHP069</v>
          </cell>
          <cell r="O1066" t="str">
            <v>2026-02</v>
          </cell>
        </row>
        <row r="1067">
          <cell r="G1067" t="str">
            <v>BHW643</v>
          </cell>
          <cell r="O1067" t="str">
            <v>2026-03</v>
          </cell>
        </row>
        <row r="1068">
          <cell r="G1068" t="str">
            <v>BHZ646</v>
          </cell>
          <cell r="O1068" t="str">
            <v>2026-05</v>
          </cell>
        </row>
        <row r="1069">
          <cell r="G1069" t="str">
            <v>BJA473</v>
          </cell>
          <cell r="O1069" t="str">
            <v>2026-03</v>
          </cell>
        </row>
        <row r="1070">
          <cell r="G1070" t="str">
            <v>BJA589</v>
          </cell>
          <cell r="O1070" t="str">
            <v>2026-03</v>
          </cell>
        </row>
        <row r="1071">
          <cell r="G1071" t="str">
            <v>BKH434</v>
          </cell>
          <cell r="O1071" t="str">
            <v>2026-07</v>
          </cell>
        </row>
        <row r="1072">
          <cell r="G1072" t="str">
            <v>BKM583</v>
          </cell>
          <cell r="O1072" t="str">
            <v>2025-10</v>
          </cell>
        </row>
        <row r="1073">
          <cell r="G1073" t="str">
            <v>BKS287</v>
          </cell>
          <cell r="O1073" t="str">
            <v>2026-08</v>
          </cell>
        </row>
        <row r="1074">
          <cell r="G1074" t="str">
            <v>BLC014</v>
          </cell>
          <cell r="O1074" t="str">
            <v>2026-07</v>
          </cell>
        </row>
        <row r="1075">
          <cell r="G1075" t="str">
            <v>BLG378</v>
          </cell>
          <cell r="O1075" t="str">
            <v>2026-08</v>
          </cell>
        </row>
        <row r="1076">
          <cell r="G1076" t="str">
            <v>BLN580</v>
          </cell>
          <cell r="O1076" t="str">
            <v>2026-01</v>
          </cell>
        </row>
        <row r="1077">
          <cell r="G1077" t="str">
            <v>BNA059</v>
          </cell>
          <cell r="O1077" t="str">
            <v>2025-12</v>
          </cell>
        </row>
        <row r="1078">
          <cell r="G1078" t="str">
            <v>BNO421</v>
          </cell>
          <cell r="O1078" t="str">
            <v>2026-02</v>
          </cell>
        </row>
        <row r="1079">
          <cell r="G1079" t="str">
            <v>BNS029</v>
          </cell>
          <cell r="O1079" t="str">
            <v>2026-01</v>
          </cell>
        </row>
        <row r="1080">
          <cell r="G1080" t="str">
            <v>BNT154</v>
          </cell>
          <cell r="O1080" t="str">
            <v>2026-06</v>
          </cell>
        </row>
        <row r="1081">
          <cell r="G1081" t="str">
            <v>BNV694</v>
          </cell>
          <cell r="O1081" t="str">
            <v>2026-02</v>
          </cell>
        </row>
        <row r="1082">
          <cell r="G1082" t="str">
            <v>BNW483</v>
          </cell>
          <cell r="O1082" t="str">
            <v>2026-01</v>
          </cell>
        </row>
        <row r="1083">
          <cell r="G1083" t="str">
            <v>BPN278</v>
          </cell>
          <cell r="O1083" t="str">
            <v>2026-03</v>
          </cell>
        </row>
        <row r="1084">
          <cell r="G1084" t="str">
            <v>BPQ501</v>
          </cell>
          <cell r="O1084" t="str">
            <v>2026-03</v>
          </cell>
        </row>
        <row r="1085">
          <cell r="G1085" t="str">
            <v>BRO333</v>
          </cell>
          <cell r="O1085" t="str">
            <v>2025-12</v>
          </cell>
        </row>
        <row r="1086">
          <cell r="G1086" t="str">
            <v>BTK140</v>
          </cell>
          <cell r="O1086" t="str">
            <v>2026-01</v>
          </cell>
        </row>
        <row r="1087">
          <cell r="G1087" t="str">
            <v>BTQ078</v>
          </cell>
          <cell r="O1087" t="str">
            <v>2026-06</v>
          </cell>
        </row>
        <row r="1088">
          <cell r="G1088" t="str">
            <v>BUL244</v>
          </cell>
          <cell r="O1088" t="str">
            <v>2026-04</v>
          </cell>
        </row>
        <row r="1089">
          <cell r="G1089" t="str">
            <v>BUL773</v>
          </cell>
          <cell r="O1089" t="str">
            <v>2026-01</v>
          </cell>
        </row>
        <row r="1090">
          <cell r="G1090" t="str">
            <v>BUR180</v>
          </cell>
          <cell r="O1090" t="str">
            <v>2026-06</v>
          </cell>
        </row>
        <row r="1091">
          <cell r="G1091" t="str">
            <v>BUZ149</v>
          </cell>
          <cell r="O1091" t="str">
            <v>2026-06</v>
          </cell>
        </row>
        <row r="1092">
          <cell r="G1092" t="str">
            <v>BVE137</v>
          </cell>
          <cell r="O1092" t="str">
            <v>2026-06</v>
          </cell>
        </row>
        <row r="1093">
          <cell r="G1093" t="str">
            <v>BVE163</v>
          </cell>
          <cell r="O1093" t="str">
            <v>2026-05</v>
          </cell>
        </row>
        <row r="1094">
          <cell r="G1094" t="str">
            <v>BVE812</v>
          </cell>
          <cell r="O1094" t="str">
            <v>2026-06</v>
          </cell>
        </row>
        <row r="1095">
          <cell r="G1095" t="str">
            <v>BVO746</v>
          </cell>
          <cell r="O1095" t="str">
            <v>2026-06</v>
          </cell>
        </row>
        <row r="1096">
          <cell r="G1096" t="str">
            <v>BWD585</v>
          </cell>
          <cell r="O1096" t="str">
            <v>2025-09</v>
          </cell>
        </row>
        <row r="1097">
          <cell r="G1097" t="str">
            <v>BWU165</v>
          </cell>
          <cell r="O1097" t="str">
            <v>2025-10</v>
          </cell>
        </row>
        <row r="1098">
          <cell r="G1098" t="str">
            <v>BXP635</v>
          </cell>
          <cell r="O1098" t="str">
            <v>2025-12</v>
          </cell>
        </row>
        <row r="1099">
          <cell r="G1099" t="str">
            <v>BXR613</v>
          </cell>
          <cell r="O1099" t="str">
            <v>2025-12</v>
          </cell>
        </row>
        <row r="1100">
          <cell r="G1100" t="str">
            <v>BYF669</v>
          </cell>
          <cell r="O1100" t="str">
            <v>2026-01</v>
          </cell>
        </row>
        <row r="1101">
          <cell r="G1101" t="str">
            <v>BYW183</v>
          </cell>
          <cell r="O1101" t="str">
            <v>2026-02</v>
          </cell>
        </row>
        <row r="1102">
          <cell r="G1102" t="str">
            <v>BZP001</v>
          </cell>
          <cell r="O1102" t="str">
            <v>2026-05</v>
          </cell>
        </row>
        <row r="1103">
          <cell r="G1103" t="str">
            <v>C1D126</v>
          </cell>
          <cell r="O1103" t="str">
            <v>2026-01</v>
          </cell>
        </row>
        <row r="1104">
          <cell r="G1104" t="str">
            <v>C1Z336</v>
          </cell>
          <cell r="O1104" t="str">
            <v>2026-01</v>
          </cell>
        </row>
        <row r="1105">
          <cell r="G1105" t="str">
            <v>C4W512</v>
          </cell>
          <cell r="O1105" t="str">
            <v>2026-08</v>
          </cell>
        </row>
        <row r="1106">
          <cell r="G1106" t="str">
            <v>C5H543</v>
          </cell>
          <cell r="O1106" t="str">
            <v>2026-05</v>
          </cell>
        </row>
        <row r="1107">
          <cell r="G1107" t="str">
            <v>C5N555</v>
          </cell>
          <cell r="O1107" t="str">
            <v>2026-07</v>
          </cell>
        </row>
        <row r="1108">
          <cell r="G1108" t="str">
            <v>C7B374</v>
          </cell>
          <cell r="O1108" t="str">
            <v>2026-08</v>
          </cell>
        </row>
        <row r="1109">
          <cell r="G1109" t="str">
            <v>C7U113</v>
          </cell>
          <cell r="O1109" t="str">
            <v>2026-01</v>
          </cell>
        </row>
        <row r="1110">
          <cell r="G1110" t="str">
            <v>C8X363</v>
          </cell>
          <cell r="O1110" t="str">
            <v>2026-02</v>
          </cell>
        </row>
        <row r="1111">
          <cell r="G1111" t="str">
            <v>CAD131</v>
          </cell>
          <cell r="O1111" t="str">
            <v>2026-05</v>
          </cell>
        </row>
        <row r="1112">
          <cell r="G1112" t="str">
            <v>CCH304</v>
          </cell>
          <cell r="O1112" t="str">
            <v>2025-12</v>
          </cell>
        </row>
        <row r="1113">
          <cell r="G1113" t="str">
            <v>CCH454</v>
          </cell>
          <cell r="O1113" t="str">
            <v>2025-12</v>
          </cell>
        </row>
        <row r="1114">
          <cell r="G1114" t="str">
            <v>CCU523</v>
          </cell>
          <cell r="O1114" t="str">
            <v>2025-12</v>
          </cell>
        </row>
        <row r="1115">
          <cell r="G1115" t="str">
            <v>CDF253</v>
          </cell>
          <cell r="O1115" t="str">
            <v>2026-01</v>
          </cell>
        </row>
        <row r="1116">
          <cell r="G1116" t="str">
            <v>CDW104</v>
          </cell>
          <cell r="O1116" t="str">
            <v>2026-02</v>
          </cell>
        </row>
        <row r="1117">
          <cell r="G1117" t="str">
            <v>CDZ452</v>
          </cell>
          <cell r="O1117" t="str">
            <v>2026-03</v>
          </cell>
        </row>
        <row r="1118">
          <cell r="G1118" t="str">
            <v>CEE318</v>
          </cell>
          <cell r="O1118" t="str">
            <v>2026-03</v>
          </cell>
        </row>
        <row r="1119">
          <cell r="G1119" t="str">
            <v>CEW619</v>
          </cell>
          <cell r="O1119" t="str">
            <v>2026-03</v>
          </cell>
        </row>
        <row r="1120">
          <cell r="G1120" t="str">
            <v>CFK658</v>
          </cell>
          <cell r="O1120" t="str">
            <v>2026-06</v>
          </cell>
        </row>
        <row r="1121">
          <cell r="G1121" t="str">
            <v>CFP494</v>
          </cell>
          <cell r="O1121" t="str">
            <v>2026-06</v>
          </cell>
        </row>
        <row r="1122">
          <cell r="G1122" t="str">
            <v>CFT341</v>
          </cell>
          <cell r="O1122" t="str">
            <v>2026-08</v>
          </cell>
        </row>
        <row r="1123">
          <cell r="G1123" t="str">
            <v>CJH189</v>
          </cell>
          <cell r="O1123" t="str">
            <v>2025-11</v>
          </cell>
        </row>
        <row r="1124">
          <cell r="G1124" t="str">
            <v>CJV033</v>
          </cell>
          <cell r="O1124" t="str">
            <v>2025-12</v>
          </cell>
        </row>
        <row r="1125">
          <cell r="G1125" t="str">
            <v>CKD256</v>
          </cell>
          <cell r="O1125" t="str">
            <v>2026-01</v>
          </cell>
        </row>
        <row r="1126">
          <cell r="G1126" t="str">
            <v>CLH058</v>
          </cell>
          <cell r="O1126" t="str">
            <v>2026-04</v>
          </cell>
        </row>
        <row r="1127">
          <cell r="G1127" t="str">
            <v>CLX536</v>
          </cell>
          <cell r="O1127" t="str">
            <v>2026-07</v>
          </cell>
        </row>
        <row r="1128">
          <cell r="G1128" t="str">
            <v>CMV268</v>
          </cell>
          <cell r="O1128" t="str">
            <v>2026-07</v>
          </cell>
        </row>
        <row r="1129">
          <cell r="G1129" t="str">
            <v>CPN472</v>
          </cell>
          <cell r="O1129" t="str">
            <v>2025-12</v>
          </cell>
        </row>
        <row r="1130">
          <cell r="G1130" t="str">
            <v>CQP773</v>
          </cell>
          <cell r="O1130" t="str">
            <v>2026-04</v>
          </cell>
        </row>
        <row r="1131">
          <cell r="G1131" t="str">
            <v>CSB304</v>
          </cell>
          <cell r="O1131" t="str">
            <v>2026-04</v>
          </cell>
        </row>
        <row r="1132">
          <cell r="G1132" t="str">
            <v>CSN551</v>
          </cell>
          <cell r="O1132" t="str">
            <v>2026-05</v>
          </cell>
        </row>
        <row r="1133">
          <cell r="G1133" t="str">
            <v>CSQ627</v>
          </cell>
          <cell r="O1133" t="str">
            <v>2026-05</v>
          </cell>
        </row>
        <row r="1134">
          <cell r="G1134" t="str">
            <v>D3Q295</v>
          </cell>
          <cell r="O1134" t="str">
            <v>2026-03</v>
          </cell>
        </row>
        <row r="1135">
          <cell r="G1135" t="str">
            <v>D4C145</v>
          </cell>
          <cell r="O1135" t="str">
            <v>2026-04</v>
          </cell>
        </row>
        <row r="1136">
          <cell r="G1136" t="str">
            <v>D4U019</v>
          </cell>
          <cell r="O1136" t="str">
            <v>2026-02</v>
          </cell>
        </row>
        <row r="1137">
          <cell r="G1137" t="str">
            <v>D6E071</v>
          </cell>
          <cell r="O1137" t="str">
            <v>2026-08</v>
          </cell>
        </row>
        <row r="1138">
          <cell r="G1138" t="str">
            <v>D6G049</v>
          </cell>
          <cell r="O1138" t="str">
            <v>2026-01</v>
          </cell>
        </row>
        <row r="1139">
          <cell r="G1139" t="str">
            <v>D6H772</v>
          </cell>
          <cell r="O1139" t="str">
            <v>2025-12</v>
          </cell>
        </row>
        <row r="1140">
          <cell r="G1140" t="str">
            <v>D7Q093</v>
          </cell>
          <cell r="O1140" t="str">
            <v>2026-07</v>
          </cell>
        </row>
        <row r="1141">
          <cell r="G1141" t="str">
            <v>D8L275</v>
          </cell>
          <cell r="O1141" t="str">
            <v>2026-04</v>
          </cell>
        </row>
        <row r="1142">
          <cell r="G1142" t="str">
            <v>D8X728</v>
          </cell>
          <cell r="O1142" t="str">
            <v>2026-02</v>
          </cell>
        </row>
        <row r="1143">
          <cell r="G1143" t="str">
            <v>D9O216</v>
          </cell>
          <cell r="O1143" t="str">
            <v>2025-09</v>
          </cell>
        </row>
        <row r="1144">
          <cell r="G1144" t="str">
            <v>F2N241</v>
          </cell>
          <cell r="O1144" t="str">
            <v>2026-06</v>
          </cell>
        </row>
        <row r="1145">
          <cell r="G1145" t="str">
            <v>F4X556</v>
          </cell>
          <cell r="O1145" t="str">
            <v>2026-01</v>
          </cell>
        </row>
        <row r="1146">
          <cell r="G1146" t="str">
            <v>F4Y930</v>
          </cell>
          <cell r="O1146" t="str">
            <v>2026-03</v>
          </cell>
        </row>
        <row r="1147">
          <cell r="G1147" t="str">
            <v>F5H627</v>
          </cell>
          <cell r="O1147" t="str">
            <v>2026-02</v>
          </cell>
        </row>
        <row r="1148">
          <cell r="G1148" t="str">
            <v>F5S222</v>
          </cell>
          <cell r="O1148" t="str">
            <v>2025-12</v>
          </cell>
        </row>
        <row r="1149">
          <cell r="G1149" t="str">
            <v>F6H521</v>
          </cell>
          <cell r="O1149" t="str">
            <v>2026-03</v>
          </cell>
        </row>
        <row r="1150">
          <cell r="G1150" t="str">
            <v>F6O035</v>
          </cell>
          <cell r="O1150" t="str">
            <v>2026-03</v>
          </cell>
        </row>
        <row r="1151">
          <cell r="G1151" t="str">
            <v>F7A130</v>
          </cell>
          <cell r="O1151" t="str">
            <v>2026-04</v>
          </cell>
        </row>
        <row r="1152">
          <cell r="G1152" t="str">
            <v>F7I086</v>
          </cell>
          <cell r="O1152" t="str">
            <v>2026-05</v>
          </cell>
        </row>
        <row r="1153">
          <cell r="G1153" t="str">
            <v>F7M108</v>
          </cell>
          <cell r="O1153" t="str">
            <v>2026-03</v>
          </cell>
        </row>
        <row r="1154">
          <cell r="G1154" t="str">
            <v>F8F665</v>
          </cell>
          <cell r="O1154" t="str">
            <v>2026-07</v>
          </cell>
        </row>
        <row r="1155">
          <cell r="G1155" t="str">
            <v>LGN021</v>
          </cell>
          <cell r="O1155" t="str">
            <v>2026-02</v>
          </cell>
        </row>
        <row r="1156">
          <cell r="G1156" t="str">
            <v>T7B398</v>
          </cell>
          <cell r="O1156" t="str">
            <v>2025-11</v>
          </cell>
        </row>
        <row r="1157">
          <cell r="G1157" t="str">
            <v>AFH348</v>
          </cell>
          <cell r="O1157" t="str">
            <v>2026-01</v>
          </cell>
        </row>
        <row r="1158">
          <cell r="G1158" t="str">
            <v>AKT611</v>
          </cell>
          <cell r="O1158" t="str">
            <v>2026-01</v>
          </cell>
        </row>
        <row r="1159">
          <cell r="G1159" t="str">
            <v>AYC657</v>
          </cell>
          <cell r="O1159" t="str">
            <v>2026-03</v>
          </cell>
        </row>
        <row r="1160">
          <cell r="G1160" t="str">
            <v>BHP069</v>
          </cell>
          <cell r="O1160" t="str">
            <v>2025-12</v>
          </cell>
        </row>
        <row r="1161">
          <cell r="G1161" t="str">
            <v>BMV270</v>
          </cell>
          <cell r="O1161" t="str">
            <v>2026-04</v>
          </cell>
        </row>
        <row r="1162">
          <cell r="G1162" t="str">
            <v>F6O035</v>
          </cell>
          <cell r="O1162" t="str">
            <v>2026-06</v>
          </cell>
        </row>
        <row r="1163">
          <cell r="G1163" t="str">
            <v>FO4714</v>
          </cell>
          <cell r="O1163" t="str">
            <v>2025-11</v>
          </cell>
        </row>
        <row r="1164">
          <cell r="G1164" t="str">
            <v>RTA0O576</v>
          </cell>
          <cell r="O1164" t="str">
            <v>2026-04</v>
          </cell>
        </row>
        <row r="1165">
          <cell r="G1165" t="str">
            <v>RTA4N222</v>
          </cell>
          <cell r="O1165" t="str">
            <v>2026-08</v>
          </cell>
        </row>
        <row r="1166">
          <cell r="G1166" t="str">
            <v>RTA5O506</v>
          </cell>
          <cell r="O1166" t="str">
            <v>2026-06</v>
          </cell>
        </row>
        <row r="1167">
          <cell r="G1167" t="str">
            <v>RTA6G388</v>
          </cell>
          <cell r="O1167" t="str">
            <v>2026-03</v>
          </cell>
        </row>
        <row r="1168">
          <cell r="G1168" t="str">
            <v>RTA7E331</v>
          </cell>
          <cell r="O1168" t="str">
            <v>2026-01</v>
          </cell>
        </row>
        <row r="1169">
          <cell r="G1169" t="str">
            <v>RTA8X474</v>
          </cell>
          <cell r="O1169" t="str">
            <v>2026-02</v>
          </cell>
        </row>
        <row r="1170">
          <cell r="G1170" t="str">
            <v>RTA9P557</v>
          </cell>
          <cell r="O1170" t="str">
            <v>2026-01</v>
          </cell>
        </row>
        <row r="1171">
          <cell r="G1171" t="str">
            <v>RTA9T490</v>
          </cell>
          <cell r="O1171" t="str">
            <v>2025-11</v>
          </cell>
        </row>
        <row r="1172">
          <cell r="G1172" t="str">
            <v>RTA9U551</v>
          </cell>
          <cell r="O1172" t="str">
            <v>2026-03</v>
          </cell>
        </row>
        <row r="1173">
          <cell r="G1173" t="str">
            <v>RTAAG666</v>
          </cell>
          <cell r="O1173" t="str">
            <v>2026-08</v>
          </cell>
        </row>
        <row r="1174">
          <cell r="G1174" t="str">
            <v>RTAAX044</v>
          </cell>
          <cell r="O1174" t="str">
            <v>2026-01</v>
          </cell>
        </row>
        <row r="1175">
          <cell r="G1175" t="str">
            <v>RTACG021</v>
          </cell>
          <cell r="O1175" t="str">
            <v>2026-05</v>
          </cell>
        </row>
        <row r="1176">
          <cell r="G1176" t="str">
            <v>RTACI048</v>
          </cell>
          <cell r="O1176" t="str">
            <v>2025-11</v>
          </cell>
        </row>
        <row r="1177">
          <cell r="G1177" t="str">
            <v>RTACO607</v>
          </cell>
          <cell r="O1177" t="str">
            <v>2026-01</v>
          </cell>
        </row>
        <row r="1178">
          <cell r="G1178" t="str">
            <v>RTACU579</v>
          </cell>
          <cell r="O1178" t="str">
            <v>2026-02</v>
          </cell>
        </row>
        <row r="1179">
          <cell r="G1179" t="str">
            <v>RTACV589</v>
          </cell>
          <cell r="O1179" t="str">
            <v>2025-12</v>
          </cell>
        </row>
        <row r="1180">
          <cell r="G1180" t="str">
            <v>RTADC363</v>
          </cell>
          <cell r="O1180" t="str">
            <v>2025-12</v>
          </cell>
        </row>
        <row r="1181">
          <cell r="G1181" t="str">
            <v>RTADI669</v>
          </cell>
          <cell r="O1181" t="str">
            <v>2026-02</v>
          </cell>
        </row>
        <row r="1182">
          <cell r="G1182" t="str">
            <v>RTADW315</v>
          </cell>
          <cell r="O1182" t="str">
            <v>2026-03</v>
          </cell>
        </row>
        <row r="1183">
          <cell r="G1183" t="str">
            <v>RTADX206</v>
          </cell>
          <cell r="O1183" t="str">
            <v>2025-12</v>
          </cell>
        </row>
        <row r="1184">
          <cell r="G1184" t="str">
            <v>RTAEC511</v>
          </cell>
          <cell r="O1184" t="str">
            <v>2026-05</v>
          </cell>
        </row>
        <row r="1185">
          <cell r="G1185" t="str">
            <v>RTAEV181</v>
          </cell>
          <cell r="O1185" t="str">
            <v>2026-06</v>
          </cell>
        </row>
        <row r="1186">
          <cell r="G1186" t="str">
            <v>RTAEW199</v>
          </cell>
          <cell r="O1186" t="str">
            <v>2025-12</v>
          </cell>
        </row>
        <row r="1187">
          <cell r="G1187" t="str">
            <v>RTAFF151</v>
          </cell>
          <cell r="O1187" t="str">
            <v>2026-05</v>
          </cell>
        </row>
        <row r="1188">
          <cell r="G1188" t="str">
            <v>RTAFF178</v>
          </cell>
          <cell r="O1188" t="str">
            <v>2026-05</v>
          </cell>
        </row>
        <row r="1189">
          <cell r="G1189" t="str">
            <v>RTAFP010</v>
          </cell>
          <cell r="O1189" t="str">
            <v>2026-01</v>
          </cell>
        </row>
        <row r="1190">
          <cell r="G1190" t="str">
            <v>RTAFZ034</v>
          </cell>
          <cell r="O1190" t="str">
            <v>2025-11</v>
          </cell>
        </row>
        <row r="1191">
          <cell r="G1191" t="str">
            <v>RTAHA677</v>
          </cell>
          <cell r="O1191" t="str">
            <v>2026-01</v>
          </cell>
        </row>
        <row r="1192">
          <cell r="G1192" t="str">
            <v>RTAHJ022</v>
          </cell>
          <cell r="O1192" t="str">
            <v>2026-04</v>
          </cell>
        </row>
        <row r="1193">
          <cell r="G1193" t="str">
            <v>RTAJS447</v>
          </cell>
          <cell r="O1193" t="str">
            <v>2025-12</v>
          </cell>
        </row>
        <row r="1194">
          <cell r="G1194" t="str">
            <v>RTAJS469</v>
          </cell>
          <cell r="O1194" t="str">
            <v>2026-07</v>
          </cell>
        </row>
        <row r="1195">
          <cell r="G1195" t="str">
            <v>RTAKO211</v>
          </cell>
          <cell r="O1195" t="str">
            <v>2026-03</v>
          </cell>
        </row>
        <row r="1196">
          <cell r="G1196" t="str">
            <v>RTAKS666</v>
          </cell>
          <cell r="O1196" t="str">
            <v>2026-08</v>
          </cell>
        </row>
        <row r="1197">
          <cell r="G1197" t="str">
            <v>RTAKV397</v>
          </cell>
          <cell r="O1197" t="str">
            <v>2025-12</v>
          </cell>
        </row>
        <row r="1198">
          <cell r="G1198" t="str">
            <v>RTALF368</v>
          </cell>
          <cell r="O1198" t="str">
            <v>2026-03</v>
          </cell>
        </row>
        <row r="1199">
          <cell r="G1199" t="str">
            <v>RTALM667</v>
          </cell>
          <cell r="O1199" t="str">
            <v>2025-12</v>
          </cell>
        </row>
        <row r="1200">
          <cell r="G1200" t="str">
            <v>RTAMT238</v>
          </cell>
          <cell r="O1200" t="str">
            <v>2026-06</v>
          </cell>
        </row>
        <row r="1201">
          <cell r="G1201" t="str">
            <v>RTANI454</v>
          </cell>
          <cell r="O1201" t="str">
            <v>2026-03</v>
          </cell>
        </row>
        <row r="1202">
          <cell r="G1202" t="str">
            <v>RTANP389</v>
          </cell>
          <cell r="O1202" t="str">
            <v>2025-12</v>
          </cell>
        </row>
        <row r="1203">
          <cell r="G1203" t="str">
            <v>RTAPK530</v>
          </cell>
          <cell r="O1203" t="str">
            <v>2026-03</v>
          </cell>
        </row>
        <row r="1204">
          <cell r="G1204" t="str">
            <v>RTASF265</v>
          </cell>
          <cell r="O1204" t="str">
            <v>2026-07</v>
          </cell>
        </row>
        <row r="1205">
          <cell r="G1205" t="str">
            <v>RTASI009</v>
          </cell>
          <cell r="O1205" t="str">
            <v>2025-12</v>
          </cell>
        </row>
        <row r="1206">
          <cell r="G1206" t="str">
            <v>RTASJ120</v>
          </cell>
          <cell r="O1206" t="str">
            <v>2025-11</v>
          </cell>
        </row>
        <row r="1207">
          <cell r="G1207" t="str">
            <v>RTASJ220</v>
          </cell>
          <cell r="O1207" t="str">
            <v>2026-04</v>
          </cell>
        </row>
        <row r="1208">
          <cell r="G1208" t="str">
            <v>RTASL593</v>
          </cell>
          <cell r="O1208" t="str">
            <v>2025-12</v>
          </cell>
        </row>
        <row r="1209">
          <cell r="G1209" t="str">
            <v>RTATH482</v>
          </cell>
          <cell r="O1209" t="str">
            <v>2025-12</v>
          </cell>
        </row>
        <row r="1210">
          <cell r="G1210" t="str">
            <v>RTATI112</v>
          </cell>
          <cell r="O1210" t="str">
            <v>2026-07</v>
          </cell>
        </row>
        <row r="1211">
          <cell r="G1211" t="str">
            <v>RTATO243</v>
          </cell>
          <cell r="O1211" t="str">
            <v>2026-06</v>
          </cell>
        </row>
        <row r="1212">
          <cell r="G1212" t="str">
            <v>RTATP578</v>
          </cell>
          <cell r="O1212" t="str">
            <v>2025-12</v>
          </cell>
        </row>
        <row r="1213">
          <cell r="G1213" t="str">
            <v>RTAUE109</v>
          </cell>
          <cell r="O1213" t="str">
            <v>2025-12</v>
          </cell>
        </row>
        <row r="1214">
          <cell r="G1214" t="str">
            <v>RTAUJ004</v>
          </cell>
          <cell r="O1214" t="str">
            <v>2026-01</v>
          </cell>
        </row>
        <row r="1215">
          <cell r="G1215" t="str">
            <v>RTAUP657</v>
          </cell>
          <cell r="O1215" t="str">
            <v>2026-03</v>
          </cell>
        </row>
        <row r="1216">
          <cell r="G1216" t="str">
            <v>RTAUY586</v>
          </cell>
          <cell r="O1216" t="str">
            <v>2026-01</v>
          </cell>
        </row>
        <row r="1217">
          <cell r="G1217" t="str">
            <v>RTAVC244</v>
          </cell>
          <cell r="O1217" t="str">
            <v>2026-01</v>
          </cell>
        </row>
        <row r="1218">
          <cell r="G1218" t="str">
            <v>RTAVF391</v>
          </cell>
          <cell r="O1218" t="str">
            <v>2026-03</v>
          </cell>
        </row>
        <row r="1219">
          <cell r="G1219" t="str">
            <v>RTAVQ475</v>
          </cell>
          <cell r="O1219" t="str">
            <v>2025-12</v>
          </cell>
        </row>
        <row r="1220">
          <cell r="G1220" t="str">
            <v>RTAVU034</v>
          </cell>
          <cell r="O1220" t="str">
            <v>2026-05</v>
          </cell>
        </row>
        <row r="1221">
          <cell r="G1221" t="str">
            <v>RTAWF129</v>
          </cell>
          <cell r="O1221" t="str">
            <v>2026-01</v>
          </cell>
        </row>
        <row r="1222">
          <cell r="G1222" t="str">
            <v>RTAWJ621</v>
          </cell>
          <cell r="O1222" t="str">
            <v>2026-06</v>
          </cell>
        </row>
        <row r="1223">
          <cell r="G1223" t="str">
            <v>RTAWY397</v>
          </cell>
          <cell r="O1223" t="str">
            <v>2025-12</v>
          </cell>
        </row>
        <row r="1224">
          <cell r="G1224" t="str">
            <v>RTAXW581</v>
          </cell>
          <cell r="O1224" t="str">
            <v>2026-03</v>
          </cell>
        </row>
        <row r="1225">
          <cell r="G1225" t="str">
            <v>RTAXX006</v>
          </cell>
          <cell r="O1225" t="str">
            <v>2026-04</v>
          </cell>
        </row>
        <row r="1226">
          <cell r="G1226" t="str">
            <v>RTAYB297</v>
          </cell>
          <cell r="O1226" t="str">
            <v>2026-05</v>
          </cell>
        </row>
        <row r="1227">
          <cell r="G1227" t="str">
            <v>RTAYH275</v>
          </cell>
          <cell r="O1227" t="str">
            <v>2026-08</v>
          </cell>
        </row>
        <row r="1228">
          <cell r="G1228" t="str">
            <v>RTAYL465</v>
          </cell>
          <cell r="O1228" t="str">
            <v>2026-01</v>
          </cell>
        </row>
        <row r="1229">
          <cell r="G1229" t="str">
            <v>RTAZM410</v>
          </cell>
          <cell r="O1229" t="str">
            <v>2026-04</v>
          </cell>
        </row>
        <row r="1230">
          <cell r="G1230" t="str">
            <v>RTB0D174</v>
          </cell>
          <cell r="O1230" t="str">
            <v>2026-08</v>
          </cell>
        </row>
        <row r="1231">
          <cell r="G1231" t="str">
            <v>RTB3A202</v>
          </cell>
          <cell r="O1231" t="str">
            <v>2026-06</v>
          </cell>
        </row>
        <row r="1232">
          <cell r="G1232" t="str">
            <v>RTB3U582</v>
          </cell>
          <cell r="O1232" t="str">
            <v>2026-01</v>
          </cell>
        </row>
        <row r="1233">
          <cell r="G1233" t="str">
            <v>RTB4R574</v>
          </cell>
          <cell r="O1233" t="str">
            <v>2026-01</v>
          </cell>
        </row>
        <row r="1234">
          <cell r="G1234" t="str">
            <v>RTB7L283</v>
          </cell>
          <cell r="O1234" t="str">
            <v>2026-07</v>
          </cell>
        </row>
        <row r="1235">
          <cell r="G1235" t="str">
            <v>RTB8I380</v>
          </cell>
          <cell r="O1235" t="str">
            <v>2026-08</v>
          </cell>
        </row>
        <row r="1236">
          <cell r="G1236" t="str">
            <v>RTB9P169</v>
          </cell>
          <cell r="O1236" t="str">
            <v>2026-01</v>
          </cell>
        </row>
        <row r="1237">
          <cell r="G1237" t="str">
            <v>RTBAB280</v>
          </cell>
          <cell r="O1237" t="str">
            <v>2026-02</v>
          </cell>
        </row>
        <row r="1238">
          <cell r="G1238" t="str">
            <v>RTBAE055</v>
          </cell>
          <cell r="O1238" t="str">
            <v>2026-03</v>
          </cell>
        </row>
        <row r="1239">
          <cell r="G1239" t="str">
            <v>RTBAE142</v>
          </cell>
          <cell r="O1239" t="str">
            <v>2026-05</v>
          </cell>
        </row>
        <row r="1240">
          <cell r="G1240" t="str">
            <v>RTBAG505</v>
          </cell>
          <cell r="O1240" t="str">
            <v>2026-07</v>
          </cell>
        </row>
        <row r="1241">
          <cell r="G1241" t="str">
            <v>RTBBF064</v>
          </cell>
          <cell r="O1241" t="str">
            <v>2026-07</v>
          </cell>
        </row>
        <row r="1242">
          <cell r="G1242" t="str">
            <v>RTBBK396</v>
          </cell>
          <cell r="O1242" t="str">
            <v>2026-01</v>
          </cell>
        </row>
        <row r="1243">
          <cell r="G1243" t="str">
            <v>RTBBO495</v>
          </cell>
          <cell r="O1243" t="str">
            <v>2026-05</v>
          </cell>
        </row>
        <row r="1244">
          <cell r="G1244" t="str">
            <v>RTBBO588</v>
          </cell>
          <cell r="O1244" t="str">
            <v>2026-01</v>
          </cell>
        </row>
        <row r="1245">
          <cell r="G1245" t="str">
            <v>RTBBQ844</v>
          </cell>
          <cell r="O1245" t="str">
            <v>2026-07</v>
          </cell>
        </row>
        <row r="1246">
          <cell r="G1246" t="str">
            <v>RTBBR302</v>
          </cell>
          <cell r="O1246" t="str">
            <v>2026-04</v>
          </cell>
        </row>
        <row r="1247">
          <cell r="G1247" t="str">
            <v>RTBBT190</v>
          </cell>
          <cell r="O1247" t="str">
            <v>2026-01</v>
          </cell>
        </row>
        <row r="1248">
          <cell r="G1248" t="str">
            <v>RTBBY418</v>
          </cell>
          <cell r="O1248" t="str">
            <v>2026-07</v>
          </cell>
        </row>
        <row r="1249">
          <cell r="G1249" t="str">
            <v>RTBCH463</v>
          </cell>
          <cell r="O1249" t="str">
            <v>2026-06</v>
          </cell>
        </row>
        <row r="1250">
          <cell r="G1250" t="str">
            <v>RTBCT334</v>
          </cell>
          <cell r="O1250" t="str">
            <v>2026-07</v>
          </cell>
        </row>
        <row r="1251">
          <cell r="G1251" t="str">
            <v>RTBCU146</v>
          </cell>
          <cell r="O1251" t="str">
            <v>2026-01</v>
          </cell>
        </row>
        <row r="1252">
          <cell r="G1252" t="str">
            <v>RTBDF397</v>
          </cell>
          <cell r="O1252" t="str">
            <v>2026-01</v>
          </cell>
        </row>
        <row r="1253">
          <cell r="G1253" t="str">
            <v>RTBDK790</v>
          </cell>
          <cell r="O1253" t="str">
            <v>2026-05</v>
          </cell>
        </row>
        <row r="1254">
          <cell r="G1254" t="str">
            <v>RTBDT947</v>
          </cell>
          <cell r="O1254" t="str">
            <v>2026-01</v>
          </cell>
        </row>
        <row r="1255">
          <cell r="G1255" t="str">
            <v>RTBDV354</v>
          </cell>
          <cell r="O1255" t="str">
            <v>2026-07</v>
          </cell>
        </row>
        <row r="1256">
          <cell r="G1256" t="str">
            <v>RTBEB284</v>
          </cell>
          <cell r="O1256" t="str">
            <v>2026-01</v>
          </cell>
        </row>
        <row r="1257">
          <cell r="G1257" t="str">
            <v>RTBEF674</v>
          </cell>
          <cell r="O1257" t="str">
            <v>2026-01</v>
          </cell>
        </row>
        <row r="1258">
          <cell r="G1258" t="str">
            <v>RTBEJ563</v>
          </cell>
          <cell r="O1258" t="str">
            <v>2026-08</v>
          </cell>
        </row>
        <row r="1259">
          <cell r="G1259" t="str">
            <v>RTBFM293</v>
          </cell>
          <cell r="O1259" t="str">
            <v>2026-07</v>
          </cell>
        </row>
        <row r="1260">
          <cell r="G1260" t="str">
            <v>RTBFV373</v>
          </cell>
          <cell r="O1260" t="str">
            <v>2026-07</v>
          </cell>
        </row>
        <row r="1261">
          <cell r="G1261" t="str">
            <v>RTBHD311</v>
          </cell>
          <cell r="O1261" t="str">
            <v>2026-04</v>
          </cell>
        </row>
        <row r="1262">
          <cell r="G1262" t="str">
            <v>RTBHD533</v>
          </cell>
          <cell r="O1262" t="str">
            <v>2026-05</v>
          </cell>
        </row>
        <row r="1263">
          <cell r="G1263" t="str">
            <v>RTBJA589</v>
          </cell>
          <cell r="O1263" t="str">
            <v>2025-12</v>
          </cell>
        </row>
        <row r="1264">
          <cell r="G1264" t="str">
            <v>RTBJL599</v>
          </cell>
          <cell r="O1264" t="str">
            <v>2026-01</v>
          </cell>
        </row>
        <row r="1265">
          <cell r="G1265" t="str">
            <v>RTBKA522</v>
          </cell>
          <cell r="O1265" t="str">
            <v>2026-03</v>
          </cell>
        </row>
        <row r="1266">
          <cell r="G1266" t="str">
            <v>RTBLA315</v>
          </cell>
          <cell r="O1266" t="str">
            <v>2026-07</v>
          </cell>
        </row>
        <row r="1267">
          <cell r="G1267" t="str">
            <v>RTBLD091</v>
          </cell>
          <cell r="O1267" t="str">
            <v>2026-03</v>
          </cell>
        </row>
        <row r="1268">
          <cell r="G1268" t="str">
            <v>RTBLW607</v>
          </cell>
          <cell r="O1268" t="str">
            <v>2026-01</v>
          </cell>
        </row>
        <row r="1269">
          <cell r="G1269" t="str">
            <v>RTBLY369</v>
          </cell>
          <cell r="O1269" t="str">
            <v>2025-12</v>
          </cell>
        </row>
        <row r="1270">
          <cell r="G1270" t="str">
            <v>RTBNA059</v>
          </cell>
          <cell r="O1270" t="str">
            <v>2025-12</v>
          </cell>
        </row>
        <row r="1271">
          <cell r="G1271" t="str">
            <v>RTBNJ025</v>
          </cell>
          <cell r="O1271" t="str">
            <v>2026-06</v>
          </cell>
        </row>
        <row r="1272">
          <cell r="G1272" t="str">
            <v>RTBNR163</v>
          </cell>
          <cell r="O1272" t="str">
            <v>2026-05</v>
          </cell>
        </row>
        <row r="1273">
          <cell r="G1273" t="str">
            <v>RTBNV063</v>
          </cell>
          <cell r="O1273" t="str">
            <v>2026-05</v>
          </cell>
        </row>
        <row r="1274">
          <cell r="G1274" t="str">
            <v>RTBNW483</v>
          </cell>
          <cell r="O1274" t="str">
            <v>2026-06</v>
          </cell>
        </row>
        <row r="1275">
          <cell r="G1275" t="str">
            <v>RTBSH470</v>
          </cell>
          <cell r="O1275" t="str">
            <v>2026-02</v>
          </cell>
        </row>
        <row r="1276">
          <cell r="G1276" t="str">
            <v>RTBTL336</v>
          </cell>
          <cell r="O1276" t="str">
            <v>2026-02</v>
          </cell>
        </row>
        <row r="1277">
          <cell r="G1277" t="str">
            <v>RTBTQ078</v>
          </cell>
          <cell r="O1277" t="str">
            <v>2025-12</v>
          </cell>
        </row>
        <row r="1278">
          <cell r="G1278" t="str">
            <v>RTBVY386</v>
          </cell>
          <cell r="O1278" t="str">
            <v>2026-05</v>
          </cell>
        </row>
        <row r="1279">
          <cell r="G1279" t="str">
            <v>RTBWK753</v>
          </cell>
          <cell r="O1279" t="str">
            <v>2026-06</v>
          </cell>
        </row>
        <row r="1280">
          <cell r="G1280" t="str">
            <v>RTBWS504</v>
          </cell>
          <cell r="O1280" t="str">
            <v>2026-01</v>
          </cell>
        </row>
        <row r="1281">
          <cell r="G1281" t="str">
            <v>RTC0B275</v>
          </cell>
          <cell r="O1281" t="str">
            <v>2026-01</v>
          </cell>
        </row>
        <row r="1282">
          <cell r="G1282" t="str">
            <v>RTC0I113</v>
          </cell>
          <cell r="O1282" t="str">
            <v>2026-06</v>
          </cell>
        </row>
        <row r="1283">
          <cell r="G1283" t="str">
            <v>RTC1X251</v>
          </cell>
          <cell r="O1283" t="str">
            <v>2026-03</v>
          </cell>
        </row>
        <row r="1284">
          <cell r="G1284" t="str">
            <v>RTC2G566</v>
          </cell>
          <cell r="O1284" t="str">
            <v>2026-01</v>
          </cell>
        </row>
        <row r="1285">
          <cell r="G1285" t="str">
            <v>RTC3I089</v>
          </cell>
          <cell r="O1285" t="str">
            <v>2025-12</v>
          </cell>
        </row>
        <row r="1286">
          <cell r="G1286" t="str">
            <v>RTC4W512</v>
          </cell>
          <cell r="O1286" t="str">
            <v>2026-03</v>
          </cell>
        </row>
        <row r="1287">
          <cell r="G1287" t="str">
            <v>RTC5H543</v>
          </cell>
          <cell r="O1287" t="str">
            <v>2026-04</v>
          </cell>
        </row>
        <row r="1288">
          <cell r="G1288" t="str">
            <v>RTC7B374</v>
          </cell>
          <cell r="O1288" t="str">
            <v>2026-08</v>
          </cell>
        </row>
        <row r="1289">
          <cell r="G1289" t="str">
            <v>RTC8X363</v>
          </cell>
          <cell r="O1289" t="str">
            <v>2026-05</v>
          </cell>
        </row>
        <row r="1290">
          <cell r="G1290" t="str">
            <v>RTC9N054</v>
          </cell>
          <cell r="O1290" t="str">
            <v>2025-12</v>
          </cell>
        </row>
        <row r="1291">
          <cell r="G1291" t="str">
            <v>RTC9O042</v>
          </cell>
          <cell r="O1291" t="str">
            <v>2026-02</v>
          </cell>
        </row>
        <row r="1292">
          <cell r="G1292" t="str">
            <v>RTCBV001</v>
          </cell>
          <cell r="O1292" t="str">
            <v>2025-12</v>
          </cell>
        </row>
        <row r="1293">
          <cell r="G1293" t="str">
            <v>RTCCH172</v>
          </cell>
          <cell r="O1293" t="str">
            <v>2025-12</v>
          </cell>
        </row>
        <row r="1294">
          <cell r="G1294" t="str">
            <v>RTCQP773</v>
          </cell>
          <cell r="O1294" t="str">
            <v>2026-07</v>
          </cell>
        </row>
        <row r="1295">
          <cell r="G1295" t="str">
            <v>RTD1S228</v>
          </cell>
          <cell r="O1295" t="str">
            <v>2026-06</v>
          </cell>
        </row>
        <row r="1296">
          <cell r="G1296" t="str">
            <v>RTD2P426</v>
          </cell>
          <cell r="O1296" t="str">
            <v>2026-02</v>
          </cell>
        </row>
        <row r="1297">
          <cell r="G1297" t="str">
            <v>RTD3B594</v>
          </cell>
          <cell r="O1297" t="str">
            <v>2025-12</v>
          </cell>
        </row>
        <row r="1298">
          <cell r="G1298" t="str">
            <v>RTD3L270</v>
          </cell>
          <cell r="O1298" t="str">
            <v>2026-05</v>
          </cell>
        </row>
        <row r="1299">
          <cell r="G1299" t="str">
            <v>RTD3N260</v>
          </cell>
          <cell r="O1299" t="str">
            <v>2026-03</v>
          </cell>
        </row>
        <row r="1300">
          <cell r="G1300" t="str">
            <v>RTD3Q295</v>
          </cell>
          <cell r="O1300" t="str">
            <v>2026-02</v>
          </cell>
        </row>
        <row r="1301">
          <cell r="G1301" t="str">
            <v>RTD4C145</v>
          </cell>
          <cell r="O1301" t="str">
            <v>2026-05</v>
          </cell>
        </row>
        <row r="1302">
          <cell r="G1302" t="str">
            <v>RTD4N537</v>
          </cell>
          <cell r="O1302" t="str">
            <v>2026-01</v>
          </cell>
        </row>
        <row r="1303">
          <cell r="G1303" t="str">
            <v>RTD6E071</v>
          </cell>
          <cell r="O1303" t="str">
            <v>2025-12</v>
          </cell>
        </row>
        <row r="1304">
          <cell r="G1304" t="str">
            <v>RTD6G049</v>
          </cell>
          <cell r="O1304" t="str">
            <v>2026-07</v>
          </cell>
        </row>
        <row r="1305">
          <cell r="G1305" t="str">
            <v>RTD6H772</v>
          </cell>
          <cell r="O1305" t="str">
            <v>2026-07</v>
          </cell>
        </row>
        <row r="1306">
          <cell r="G1306" t="str">
            <v>RTD7Y568</v>
          </cell>
          <cell r="O1306" t="str">
            <v>2026-02</v>
          </cell>
        </row>
        <row r="1307">
          <cell r="G1307" t="str">
            <v>RTD9O216</v>
          </cell>
          <cell r="O1307" t="str">
            <v>2026-01</v>
          </cell>
        </row>
        <row r="1308">
          <cell r="G1308" t="str">
            <v>RTF1U100</v>
          </cell>
          <cell r="O1308" t="str">
            <v>2026-07</v>
          </cell>
        </row>
        <row r="1309">
          <cell r="G1309" t="str">
            <v>RTF2N241</v>
          </cell>
          <cell r="O1309" t="str">
            <v>2026-06</v>
          </cell>
        </row>
        <row r="1310">
          <cell r="G1310" t="str">
            <v>RTF4B213</v>
          </cell>
          <cell r="O1310" t="str">
            <v>2026-01</v>
          </cell>
        </row>
        <row r="1311">
          <cell r="G1311" t="str">
            <v>RTF4N383</v>
          </cell>
          <cell r="O1311" t="str">
            <v>2026-01</v>
          </cell>
        </row>
        <row r="1312">
          <cell r="G1312" t="str">
            <v>RTF4S657</v>
          </cell>
          <cell r="O1312" t="str">
            <v>2026-05</v>
          </cell>
        </row>
        <row r="1313">
          <cell r="G1313" t="str">
            <v>RTF4V007</v>
          </cell>
          <cell r="O1313" t="str">
            <v>2026-05</v>
          </cell>
        </row>
        <row r="1314">
          <cell r="G1314" t="str">
            <v>RTF4Y930</v>
          </cell>
          <cell r="O1314" t="str">
            <v>2026-03</v>
          </cell>
        </row>
        <row r="1315">
          <cell r="G1315" t="str">
            <v>RTF5H627</v>
          </cell>
          <cell r="O1315" t="str">
            <v>2025-12</v>
          </cell>
        </row>
        <row r="1316">
          <cell r="G1316" t="str">
            <v>RTF5Q113</v>
          </cell>
          <cell r="O1316" t="str">
            <v>2026-06</v>
          </cell>
        </row>
        <row r="1317">
          <cell r="G1317" t="str">
            <v>RTF7A130</v>
          </cell>
          <cell r="O1317" t="str">
            <v>2026-08</v>
          </cell>
        </row>
        <row r="1318">
          <cell r="G1318" t="str">
            <v>RTF7M108</v>
          </cell>
          <cell r="O1318" t="str">
            <v>2026-06</v>
          </cell>
        </row>
        <row r="1319">
          <cell r="G1319" t="str">
            <v>RTF7T101</v>
          </cell>
          <cell r="O1319" t="str">
            <v>2026-06</v>
          </cell>
        </row>
        <row r="1320">
          <cell r="G1320" t="str">
            <v>RTF8C428</v>
          </cell>
          <cell r="O1320" t="str">
            <v>2026-07</v>
          </cell>
        </row>
        <row r="1321">
          <cell r="G1321" t="str">
            <v>RTF9K379</v>
          </cell>
          <cell r="O1321" t="str">
            <v>2026-08</v>
          </cell>
        </row>
        <row r="1322">
          <cell r="G1322" t="str">
            <v>RTF9L132</v>
          </cell>
          <cell r="O1322" t="str">
            <v>2026-08</v>
          </cell>
        </row>
        <row r="1323">
          <cell r="G1323" t="str">
            <v>RTF9W034</v>
          </cell>
          <cell r="O1323" t="str">
            <v>2025-12</v>
          </cell>
        </row>
        <row r="1324">
          <cell r="G1324" t="str">
            <v>RTRIZ205</v>
          </cell>
          <cell r="O1324" t="str">
            <v>2026-04</v>
          </cell>
        </row>
        <row r="1325">
          <cell r="G1325" t="str">
            <v>RTRON639</v>
          </cell>
          <cell r="O1325" t="str">
            <v>2026-07</v>
          </cell>
        </row>
        <row r="1326">
          <cell r="G1326" t="str">
            <v>RTV0C251</v>
          </cell>
          <cell r="O1326" t="str">
            <v>2026-05</v>
          </cell>
        </row>
        <row r="1327">
          <cell r="G1327" t="str">
            <v>BONO_PACIFICO_S_ME</v>
          </cell>
          <cell r="O1327" t="str">
            <v>2025-01</v>
          </cell>
        </row>
        <row r="1328">
          <cell r="G1328">
            <v>13062114</v>
          </cell>
          <cell r="O1328" t="str">
            <v>2026-09</v>
          </cell>
        </row>
        <row r="1329">
          <cell r="G1329">
            <v>15303558</v>
          </cell>
          <cell r="O1329" t="str">
            <v>2025-12</v>
          </cell>
        </row>
        <row r="1330">
          <cell r="G1330">
            <v>15410665</v>
          </cell>
          <cell r="O1330" t="str">
            <v>2026-02</v>
          </cell>
        </row>
        <row r="1331">
          <cell r="G1331">
            <v>15638781</v>
          </cell>
          <cell r="O1331" t="str">
            <v>2026-05</v>
          </cell>
        </row>
        <row r="1332">
          <cell r="G1332">
            <v>15881983</v>
          </cell>
          <cell r="O1332" t="str">
            <v>2026-02</v>
          </cell>
        </row>
        <row r="1333">
          <cell r="G1333">
            <v>16327565</v>
          </cell>
          <cell r="O1333" t="str">
            <v>2026-04</v>
          </cell>
        </row>
        <row r="1334">
          <cell r="G1334">
            <v>16867611</v>
          </cell>
          <cell r="O1334" t="str">
            <v>2026-01</v>
          </cell>
        </row>
        <row r="1335">
          <cell r="G1335">
            <v>16880752</v>
          </cell>
          <cell r="O1335" t="str">
            <v>2026-02</v>
          </cell>
        </row>
        <row r="1336">
          <cell r="G1336">
            <v>17242869</v>
          </cell>
          <cell r="O1336" t="str">
            <v>2026-05</v>
          </cell>
        </row>
        <row r="1337">
          <cell r="G1337">
            <v>17520507</v>
          </cell>
          <cell r="O1337" t="str">
            <v>2025-11</v>
          </cell>
        </row>
        <row r="1338">
          <cell r="G1338">
            <v>19593192</v>
          </cell>
          <cell r="O1338" t="str">
            <v>2025-10</v>
          </cell>
        </row>
        <row r="1339">
          <cell r="G1339">
            <v>19629747</v>
          </cell>
          <cell r="O1339" t="str">
            <v>2025-11</v>
          </cell>
        </row>
        <row r="1340">
          <cell r="G1340">
            <v>20209641</v>
          </cell>
          <cell r="O1340" t="str">
            <v>2026-02</v>
          </cell>
        </row>
        <row r="1341">
          <cell r="G1341">
            <v>21526403</v>
          </cell>
          <cell r="O1341" t="str">
            <v>2026-09</v>
          </cell>
        </row>
        <row r="1342">
          <cell r="G1342">
            <v>7190638</v>
          </cell>
          <cell r="O1342" t="str">
            <v>2026-05</v>
          </cell>
        </row>
        <row r="1343">
          <cell r="G1343">
            <v>787681</v>
          </cell>
          <cell r="O1343" t="str">
            <v>2025-12</v>
          </cell>
        </row>
        <row r="1344">
          <cell r="G1344">
            <v>825317</v>
          </cell>
          <cell r="O1344" t="str">
            <v>2026-08</v>
          </cell>
        </row>
        <row r="1345">
          <cell r="G1345">
            <v>20793992</v>
          </cell>
          <cell r="O1345" t="str">
            <v>2026-04</v>
          </cell>
        </row>
        <row r="1346">
          <cell r="G1346">
            <v>21150921</v>
          </cell>
          <cell r="O1346" t="str">
            <v>2026-06</v>
          </cell>
        </row>
        <row r="1347">
          <cell r="G1347">
            <v>21592437</v>
          </cell>
          <cell r="O1347" t="str">
            <v>2026-09</v>
          </cell>
        </row>
        <row r="1348">
          <cell r="G1348">
            <v>20478348</v>
          </cell>
          <cell r="O1348" t="str">
            <v>2025-12</v>
          </cell>
        </row>
        <row r="1349">
          <cell r="G1349">
            <v>20801161</v>
          </cell>
          <cell r="O1349" t="str">
            <v>2025-12</v>
          </cell>
        </row>
        <row r="1350">
          <cell r="G1350">
            <v>21674917</v>
          </cell>
          <cell r="O1350" t="str">
            <v>2026-02</v>
          </cell>
        </row>
        <row r="1351">
          <cell r="G1351">
            <v>620100110</v>
          </cell>
          <cell r="O1351" t="str">
            <v>2025-11</v>
          </cell>
        </row>
        <row r="1352">
          <cell r="G1352">
            <v>620100333</v>
          </cell>
          <cell r="O1352" t="str">
            <v>2026-04</v>
          </cell>
        </row>
        <row r="1353">
          <cell r="G1353">
            <v>620100550</v>
          </cell>
          <cell r="O1353" t="str">
            <v>2025-10</v>
          </cell>
        </row>
        <row r="1354">
          <cell r="G1354">
            <v>620100752</v>
          </cell>
          <cell r="O1354" t="str">
            <v>2026-04</v>
          </cell>
        </row>
        <row r="1355">
          <cell r="G1355">
            <v>620101023</v>
          </cell>
          <cell r="O1355" t="str">
            <v>2025-10</v>
          </cell>
        </row>
        <row r="1356">
          <cell r="G1356">
            <v>620101093</v>
          </cell>
          <cell r="O1356" t="str">
            <v>2025-12</v>
          </cell>
        </row>
        <row r="1357">
          <cell r="G1357">
            <v>620101361</v>
          </cell>
          <cell r="O1357" t="str">
            <v>2026-06</v>
          </cell>
        </row>
        <row r="1358">
          <cell r="G1358">
            <v>620102259</v>
          </cell>
          <cell r="O1358" t="str">
            <v>2025-11</v>
          </cell>
        </row>
        <row r="1359">
          <cell r="G1359">
            <v>620102989</v>
          </cell>
          <cell r="O1359" t="str">
            <v>2025-10</v>
          </cell>
        </row>
        <row r="1360">
          <cell r="G1360">
            <v>620103144</v>
          </cell>
          <cell r="O1360" t="str">
            <v>2025-11</v>
          </cell>
        </row>
        <row r="1361">
          <cell r="G1361">
            <v>620103162</v>
          </cell>
          <cell r="O1361" t="str">
            <v>2025-11</v>
          </cell>
        </row>
        <row r="1362">
          <cell r="G1362">
            <v>620103710</v>
          </cell>
          <cell r="O1362" t="str">
            <v>2025-11</v>
          </cell>
        </row>
        <row r="1363">
          <cell r="G1363">
            <v>620103984</v>
          </cell>
          <cell r="O1363" t="str">
            <v>2025-11</v>
          </cell>
        </row>
        <row r="1364">
          <cell r="G1364">
            <v>62037008</v>
          </cell>
          <cell r="O1364" t="str">
            <v>2025-12</v>
          </cell>
        </row>
        <row r="1365">
          <cell r="G1365">
            <v>62038970</v>
          </cell>
          <cell r="O1365" t="str">
            <v>2025-10</v>
          </cell>
        </row>
        <row r="1366">
          <cell r="G1366">
            <v>62048616</v>
          </cell>
          <cell r="O1366" t="str">
            <v>2025-11</v>
          </cell>
        </row>
        <row r="1367">
          <cell r="G1367">
            <v>62078780</v>
          </cell>
          <cell r="O1367" t="str">
            <v>2025-10</v>
          </cell>
        </row>
        <row r="1368">
          <cell r="G1368">
            <v>62080646</v>
          </cell>
          <cell r="O1368" t="str">
            <v>2025-12</v>
          </cell>
        </row>
        <row r="1369">
          <cell r="G1369">
            <v>62082215</v>
          </cell>
          <cell r="O1369" t="str">
            <v>2026-02</v>
          </cell>
        </row>
        <row r="1370">
          <cell r="G1370">
            <v>6208312</v>
          </cell>
          <cell r="O1370" t="str">
            <v>2026-02</v>
          </cell>
        </row>
        <row r="1371">
          <cell r="G1371">
            <v>62090148</v>
          </cell>
          <cell r="O1371" t="str">
            <v>2026-03</v>
          </cell>
        </row>
        <row r="1372">
          <cell r="G1372">
            <v>62092904</v>
          </cell>
          <cell r="O1372" t="str">
            <v>2026-01</v>
          </cell>
        </row>
        <row r="1373">
          <cell r="G1373">
            <v>62095431</v>
          </cell>
          <cell r="O1373" t="str">
            <v>2025-11</v>
          </cell>
        </row>
        <row r="1374">
          <cell r="G1374">
            <v>62095596</v>
          </cell>
          <cell r="O1374" t="str">
            <v>2026-04</v>
          </cell>
        </row>
        <row r="1375">
          <cell r="G1375">
            <v>62096739</v>
          </cell>
          <cell r="O1375" t="str">
            <v>2025-11</v>
          </cell>
        </row>
        <row r="1376">
          <cell r="G1376">
            <v>62099161</v>
          </cell>
          <cell r="O1376" t="str">
            <v>2025-11</v>
          </cell>
        </row>
        <row r="1377">
          <cell r="G1377">
            <v>62099186</v>
          </cell>
          <cell r="O1377" t="str">
            <v>2025-11</v>
          </cell>
        </row>
        <row r="1378">
          <cell r="G1378">
            <v>62099663</v>
          </cell>
          <cell r="O1378" t="str">
            <v>2026-01</v>
          </cell>
        </row>
        <row r="1379">
          <cell r="G1379">
            <v>62099819</v>
          </cell>
          <cell r="O1379" t="str">
            <v>2026-01</v>
          </cell>
        </row>
        <row r="1380">
          <cell r="G1380">
            <v>62100477</v>
          </cell>
          <cell r="O1380" t="str">
            <v>2026-01</v>
          </cell>
        </row>
        <row r="1381">
          <cell r="G1381">
            <v>15180611</v>
          </cell>
          <cell r="O1381" t="str">
            <v>2026-10</v>
          </cell>
        </row>
        <row r="1382">
          <cell r="G1382">
            <v>17006735</v>
          </cell>
          <cell r="O1382" t="str">
            <v>2026-05</v>
          </cell>
        </row>
        <row r="1383">
          <cell r="G1383">
            <v>17159542</v>
          </cell>
          <cell r="O1383" t="str">
            <v>2026-02</v>
          </cell>
        </row>
        <row r="1384">
          <cell r="G1384">
            <v>17790826</v>
          </cell>
          <cell r="O1384" t="str">
            <v>2026-01</v>
          </cell>
        </row>
        <row r="1385">
          <cell r="G1385">
            <v>18044478</v>
          </cell>
          <cell r="O1385" t="str">
            <v>2026-02</v>
          </cell>
        </row>
        <row r="1386">
          <cell r="G1386">
            <v>18254244</v>
          </cell>
          <cell r="O1386" t="str">
            <v>2026-03</v>
          </cell>
        </row>
        <row r="1387">
          <cell r="G1387">
            <v>19918232</v>
          </cell>
          <cell r="O1387" t="str">
            <v>2026-01</v>
          </cell>
        </row>
        <row r="1388">
          <cell r="G1388">
            <v>20335569</v>
          </cell>
          <cell r="O1388" t="str">
            <v>2026-02</v>
          </cell>
        </row>
        <row r="1389">
          <cell r="G1389">
            <v>20484665</v>
          </cell>
          <cell r="O1389" t="str">
            <v>2026-03</v>
          </cell>
        </row>
        <row r="1390">
          <cell r="G1390">
            <v>20550193</v>
          </cell>
          <cell r="O1390" t="str">
            <v>2026-03</v>
          </cell>
        </row>
        <row r="1391">
          <cell r="G1391">
            <v>20779404</v>
          </cell>
          <cell r="O1391" t="str">
            <v>2026-03</v>
          </cell>
        </row>
        <row r="1392">
          <cell r="G1392">
            <v>20843900</v>
          </cell>
          <cell r="O1392" t="str">
            <v>2025-12</v>
          </cell>
        </row>
        <row r="1393">
          <cell r="G1393">
            <v>20879521</v>
          </cell>
          <cell r="O1393" t="str">
            <v>2026-05</v>
          </cell>
        </row>
        <row r="1394">
          <cell r="G1394">
            <v>21099510</v>
          </cell>
          <cell r="O1394" t="str">
            <v>2026-06</v>
          </cell>
        </row>
        <row r="1395">
          <cell r="G1395">
            <v>21116798</v>
          </cell>
          <cell r="O1395" t="str">
            <v>2026-06</v>
          </cell>
        </row>
        <row r="1396">
          <cell r="G1396">
            <v>21131364</v>
          </cell>
          <cell r="O1396" t="str">
            <v>2026-06</v>
          </cell>
        </row>
        <row r="1397">
          <cell r="G1397">
            <v>21345488</v>
          </cell>
          <cell r="O1397" t="str">
            <v>2026-08</v>
          </cell>
        </row>
        <row r="1398">
          <cell r="G1398">
            <v>21483634</v>
          </cell>
          <cell r="O1398" t="str">
            <v>2027-01</v>
          </cell>
        </row>
        <row r="1399">
          <cell r="G1399">
            <v>19108851</v>
          </cell>
          <cell r="O1399" t="str">
            <v>2026-08</v>
          </cell>
        </row>
        <row r="1400">
          <cell r="G1400">
            <v>2011849846</v>
          </cell>
          <cell r="O1400" t="str">
            <v>2026-07</v>
          </cell>
        </row>
        <row r="1401">
          <cell r="G1401">
            <v>2011849851</v>
          </cell>
          <cell r="O1401" t="str">
            <v>2026-07</v>
          </cell>
        </row>
        <row r="1402">
          <cell r="G1402">
            <v>2011849853</v>
          </cell>
          <cell r="O1402" t="str">
            <v>2026-07</v>
          </cell>
        </row>
        <row r="1403">
          <cell r="G1403">
            <v>2011849856</v>
          </cell>
          <cell r="O1403" t="str">
            <v>2026-07</v>
          </cell>
        </row>
        <row r="1404">
          <cell r="G1404">
            <v>2011854790</v>
          </cell>
          <cell r="O1404" t="str">
            <v>2026-07</v>
          </cell>
        </row>
        <row r="1405">
          <cell r="G1405">
            <v>2011923323</v>
          </cell>
          <cell r="O1405" t="str">
            <v>2026-08</v>
          </cell>
        </row>
        <row r="1406">
          <cell r="G1406">
            <v>2011923332</v>
          </cell>
          <cell r="O1406" t="str">
            <v>2026-08</v>
          </cell>
        </row>
        <row r="1407">
          <cell r="G1407">
            <v>2011946409</v>
          </cell>
          <cell r="O1407" t="str">
            <v>2026-08</v>
          </cell>
        </row>
        <row r="1408">
          <cell r="G1408">
            <v>2011980713</v>
          </cell>
          <cell r="O1408" t="str">
            <v>2026-09</v>
          </cell>
        </row>
        <row r="1409">
          <cell r="G1409">
            <v>2011987771</v>
          </cell>
          <cell r="O1409" t="str">
            <v>2026-09</v>
          </cell>
        </row>
        <row r="1410">
          <cell r="G1410">
            <v>2011987826</v>
          </cell>
          <cell r="O1410" t="str">
            <v>2026-09</v>
          </cell>
        </row>
        <row r="1411">
          <cell r="G1411">
            <v>2012023857</v>
          </cell>
          <cell r="O1411" t="str">
            <v>2026-09</v>
          </cell>
        </row>
        <row r="1412">
          <cell r="G1412">
            <v>2012053785</v>
          </cell>
          <cell r="O1412" t="str">
            <v>2026-10</v>
          </cell>
        </row>
        <row r="1413">
          <cell r="G1413">
            <v>2012053805</v>
          </cell>
          <cell r="O1413" t="str">
            <v>2026-10</v>
          </cell>
        </row>
        <row r="1414">
          <cell r="G1414">
            <v>2012053834</v>
          </cell>
          <cell r="O1414" t="str">
            <v>2026-10</v>
          </cell>
        </row>
        <row r="1415">
          <cell r="G1415">
            <v>119955</v>
          </cell>
          <cell r="O1415" t="str">
            <v>2026-06</v>
          </cell>
        </row>
        <row r="1416">
          <cell r="G1416">
            <v>72868</v>
          </cell>
          <cell r="O1416" t="str">
            <v>2025-10</v>
          </cell>
        </row>
        <row r="1417">
          <cell r="G1417">
            <v>78835</v>
          </cell>
          <cell r="O1417" t="str">
            <v>2026-01</v>
          </cell>
        </row>
        <row r="1418">
          <cell r="G1418">
            <v>94061</v>
          </cell>
          <cell r="O1418" t="str">
            <v>2026-06</v>
          </cell>
        </row>
        <row r="1419">
          <cell r="G1419">
            <v>15325873</v>
          </cell>
          <cell r="O1419" t="str">
            <v>2026-01</v>
          </cell>
        </row>
        <row r="1420">
          <cell r="G1420">
            <v>17208746</v>
          </cell>
          <cell r="O1420" t="str">
            <v>2026-03</v>
          </cell>
        </row>
        <row r="1421">
          <cell r="G1421">
            <v>17504256</v>
          </cell>
          <cell r="O1421" t="str">
            <v>2025-10</v>
          </cell>
        </row>
        <row r="1422">
          <cell r="G1422">
            <v>19886122</v>
          </cell>
          <cell r="O1422" t="str">
            <v>2025-12</v>
          </cell>
        </row>
        <row r="1423">
          <cell r="G1423">
            <v>21148565</v>
          </cell>
          <cell r="O1423" t="str">
            <v>2026-09</v>
          </cell>
        </row>
        <row r="1424">
          <cell r="G1424">
            <v>21592325</v>
          </cell>
          <cell r="O1424" t="str">
            <v>2025-12</v>
          </cell>
        </row>
        <row r="1425">
          <cell r="G1425">
            <v>21621705</v>
          </cell>
          <cell r="O1425" t="str">
            <v>2025-12</v>
          </cell>
        </row>
        <row r="1426">
          <cell r="G1426">
            <v>21654576</v>
          </cell>
          <cell r="O1426" t="str">
            <v>2026-09</v>
          </cell>
        </row>
        <row r="1427">
          <cell r="G1427">
            <v>21667315</v>
          </cell>
          <cell r="O1427" t="str">
            <v>2025-12</v>
          </cell>
        </row>
        <row r="1428">
          <cell r="G1428">
            <v>21713816</v>
          </cell>
          <cell r="O1428" t="str">
            <v>2026-01</v>
          </cell>
        </row>
        <row r="1429">
          <cell r="G1429">
            <v>7190648</v>
          </cell>
          <cell r="O1429" t="str">
            <v>2026-05</v>
          </cell>
        </row>
        <row r="1430">
          <cell r="G1430">
            <v>13652377</v>
          </cell>
          <cell r="O1430" t="str">
            <v>2025-12</v>
          </cell>
        </row>
        <row r="1431">
          <cell r="G1431">
            <v>14562208</v>
          </cell>
          <cell r="O1431" t="str">
            <v>2025-12</v>
          </cell>
        </row>
        <row r="1432">
          <cell r="G1432">
            <v>16804632</v>
          </cell>
          <cell r="O1432" t="str">
            <v>2026-08</v>
          </cell>
        </row>
        <row r="1433">
          <cell r="G1433">
            <v>16811228</v>
          </cell>
          <cell r="O1433" t="str">
            <v>2026-09</v>
          </cell>
        </row>
        <row r="1434">
          <cell r="G1434">
            <v>17012815</v>
          </cell>
          <cell r="O1434" t="str">
            <v>2026-07</v>
          </cell>
        </row>
        <row r="1435">
          <cell r="G1435">
            <v>19593033</v>
          </cell>
          <cell r="O1435" t="str">
            <v>2025-10</v>
          </cell>
        </row>
        <row r="1436">
          <cell r="G1436">
            <v>6624282</v>
          </cell>
          <cell r="O1436" t="str">
            <v>2025-11</v>
          </cell>
        </row>
        <row r="1437">
          <cell r="G1437">
            <v>2001787218</v>
          </cell>
          <cell r="O1437" t="str">
            <v>2026-06</v>
          </cell>
        </row>
        <row r="1438">
          <cell r="G1438">
            <v>2009098775</v>
          </cell>
          <cell r="O1438" t="str">
            <v>2026-10</v>
          </cell>
        </row>
        <row r="1439">
          <cell r="G1439">
            <v>2012042035</v>
          </cell>
          <cell r="O1439" t="str">
            <v>2026-03</v>
          </cell>
        </row>
        <row r="1440">
          <cell r="G1440">
            <v>340002245</v>
          </cell>
          <cell r="O1440" t="str">
            <v>2035-02</v>
          </cell>
        </row>
        <row r="1441">
          <cell r="G1441">
            <v>3430001298</v>
          </cell>
          <cell r="O1441" t="str">
            <v>2048-10</v>
          </cell>
        </row>
        <row r="1442">
          <cell r="G1442">
            <v>10430436</v>
          </cell>
          <cell r="O1442" t="str">
            <v>2026-02</v>
          </cell>
        </row>
        <row r="1443">
          <cell r="G1443">
            <v>12067707</v>
          </cell>
          <cell r="O1443" t="str">
            <v>2026-01</v>
          </cell>
        </row>
        <row r="1444">
          <cell r="G1444">
            <v>13898028</v>
          </cell>
          <cell r="O1444" t="str">
            <v>2026-02</v>
          </cell>
        </row>
        <row r="1445">
          <cell r="G1445">
            <v>14493860</v>
          </cell>
          <cell r="O1445" t="str">
            <v>2026-03</v>
          </cell>
        </row>
        <row r="1446">
          <cell r="G1446">
            <v>14495000</v>
          </cell>
          <cell r="O1446" t="str">
            <v>2026-03</v>
          </cell>
        </row>
        <row r="1447">
          <cell r="G1447">
            <v>1495791</v>
          </cell>
          <cell r="O1447" t="str">
            <v>2026-02</v>
          </cell>
        </row>
        <row r="1448">
          <cell r="G1448">
            <v>15030303</v>
          </cell>
          <cell r="O1448" t="str">
            <v>2026-07</v>
          </cell>
        </row>
        <row r="1449">
          <cell r="G1449">
            <v>16782595</v>
          </cell>
          <cell r="O1449" t="str">
            <v>2026-07</v>
          </cell>
        </row>
        <row r="1450">
          <cell r="G1450">
            <v>16880617</v>
          </cell>
          <cell r="O1450" t="str">
            <v>2026-02</v>
          </cell>
        </row>
        <row r="1451">
          <cell r="G1451">
            <v>16880620</v>
          </cell>
          <cell r="O1451" t="str">
            <v>2026-02</v>
          </cell>
        </row>
        <row r="1452">
          <cell r="G1452">
            <v>17089628</v>
          </cell>
          <cell r="O1452" t="str">
            <v>2026-10</v>
          </cell>
        </row>
        <row r="1453">
          <cell r="G1453">
            <v>2513392</v>
          </cell>
          <cell r="O1453" t="str">
            <v>2026-02</v>
          </cell>
        </row>
        <row r="1454">
          <cell r="G1454">
            <v>3341892</v>
          </cell>
          <cell r="O1454" t="str">
            <v>2026-09</v>
          </cell>
        </row>
        <row r="1455">
          <cell r="G1455">
            <v>4167916</v>
          </cell>
          <cell r="O1455" t="str">
            <v>2026-10</v>
          </cell>
        </row>
        <row r="1456">
          <cell r="G1456">
            <v>5304627</v>
          </cell>
          <cell r="O1456" t="str">
            <v>2026-02</v>
          </cell>
        </row>
        <row r="1457">
          <cell r="G1457">
            <v>627514</v>
          </cell>
          <cell r="O1457" t="str">
            <v>2026-07</v>
          </cell>
        </row>
        <row r="1458">
          <cell r="G1458">
            <v>829943</v>
          </cell>
          <cell r="O1458" t="str">
            <v>2026-07</v>
          </cell>
        </row>
        <row r="1459">
          <cell r="G1459">
            <v>969696</v>
          </cell>
          <cell r="O1459" t="str">
            <v>2026-10</v>
          </cell>
        </row>
        <row r="1460">
          <cell r="G1460">
            <v>983118</v>
          </cell>
          <cell r="O1460" t="str">
            <v>2026-04</v>
          </cell>
        </row>
        <row r="1461">
          <cell r="G1461">
            <v>16975449</v>
          </cell>
          <cell r="O1461" t="str">
            <v>2026-06</v>
          </cell>
        </row>
        <row r="1462">
          <cell r="G1462">
            <v>17480232</v>
          </cell>
          <cell r="O1462" t="str">
            <v>2025-11</v>
          </cell>
        </row>
        <row r="1463">
          <cell r="G1463">
            <v>18976640</v>
          </cell>
          <cell r="O1463" t="str">
            <v>2026-01</v>
          </cell>
        </row>
        <row r="1464">
          <cell r="G1464">
            <v>20102617</v>
          </cell>
          <cell r="O1464" t="str">
            <v>2025-12</v>
          </cell>
        </row>
        <row r="1465">
          <cell r="G1465">
            <v>20113203</v>
          </cell>
          <cell r="O1465" t="str">
            <v>2026-01</v>
          </cell>
        </row>
        <row r="1466">
          <cell r="G1466">
            <v>20525237</v>
          </cell>
          <cell r="O1466" t="str">
            <v>2026-03</v>
          </cell>
        </row>
        <row r="1467">
          <cell r="G1467">
            <v>20923635</v>
          </cell>
          <cell r="O1467" t="str">
            <v>2025-11</v>
          </cell>
        </row>
        <row r="1468">
          <cell r="G1468">
            <v>20970087</v>
          </cell>
          <cell r="O1468" t="str">
            <v>2025-11</v>
          </cell>
        </row>
        <row r="1469">
          <cell r="G1469">
            <v>20989643</v>
          </cell>
          <cell r="O1469" t="str">
            <v>2025-12</v>
          </cell>
        </row>
        <row r="1470">
          <cell r="G1470">
            <v>21041848</v>
          </cell>
          <cell r="O1470" t="str">
            <v>2025-12</v>
          </cell>
        </row>
        <row r="1471">
          <cell r="G1471">
            <v>21237272</v>
          </cell>
          <cell r="O1471" t="str">
            <v>2025-10</v>
          </cell>
        </row>
        <row r="1472">
          <cell r="G1472">
            <v>21334366</v>
          </cell>
          <cell r="O1472" t="str">
            <v>2026-01</v>
          </cell>
        </row>
        <row r="1473">
          <cell r="G1473">
            <v>21346949</v>
          </cell>
          <cell r="O1473" t="str">
            <v>2025-10</v>
          </cell>
        </row>
        <row r="1474">
          <cell r="G1474">
            <v>21382280</v>
          </cell>
          <cell r="O1474" t="str">
            <v>2026-02</v>
          </cell>
        </row>
        <row r="1475">
          <cell r="G1475">
            <v>21424016</v>
          </cell>
          <cell r="O1475" t="str">
            <v>2025-09</v>
          </cell>
        </row>
        <row r="1476">
          <cell r="G1476">
            <v>21442100</v>
          </cell>
          <cell r="O1476" t="str">
            <v>2025-09</v>
          </cell>
        </row>
        <row r="1477">
          <cell r="G1477">
            <v>21602018</v>
          </cell>
          <cell r="O1477" t="str">
            <v>2026-12</v>
          </cell>
        </row>
        <row r="1478">
          <cell r="G1478">
            <v>16325184</v>
          </cell>
          <cell r="O1478" t="str">
            <v>2026-04</v>
          </cell>
        </row>
        <row r="1479">
          <cell r="G1479">
            <v>16741552</v>
          </cell>
          <cell r="O1479" t="str">
            <v>2026-03</v>
          </cell>
        </row>
        <row r="1480">
          <cell r="G1480">
            <v>16742454</v>
          </cell>
          <cell r="O1480" t="str">
            <v>2026-03</v>
          </cell>
        </row>
        <row r="1481">
          <cell r="G1481">
            <v>16756915</v>
          </cell>
          <cell r="O1481" t="str">
            <v>2026-03</v>
          </cell>
        </row>
        <row r="1482">
          <cell r="G1482">
            <v>16760178</v>
          </cell>
          <cell r="O1482" t="str">
            <v>2026-03</v>
          </cell>
        </row>
        <row r="1483">
          <cell r="G1483">
            <v>18671180</v>
          </cell>
          <cell r="O1483" t="str">
            <v>2026-06</v>
          </cell>
        </row>
        <row r="1484">
          <cell r="G1484">
            <v>2716974</v>
          </cell>
          <cell r="O1484" t="str">
            <v>2026-11</v>
          </cell>
        </row>
        <row r="1485">
          <cell r="G1485">
            <v>3581337</v>
          </cell>
          <cell r="O1485" t="str">
            <v>2026-03</v>
          </cell>
        </row>
        <row r="1486">
          <cell r="G1486">
            <v>3609909</v>
          </cell>
          <cell r="O1486" t="str">
            <v>2026-02</v>
          </cell>
        </row>
        <row r="1487">
          <cell r="G1487">
            <v>3614009</v>
          </cell>
          <cell r="O1487" t="str">
            <v>2026-03</v>
          </cell>
        </row>
        <row r="1488">
          <cell r="G1488">
            <v>3940585</v>
          </cell>
          <cell r="O1488" t="str">
            <v>2026-05</v>
          </cell>
        </row>
        <row r="1489">
          <cell r="G1489">
            <v>4424229</v>
          </cell>
          <cell r="O1489" t="str">
            <v>2026-02</v>
          </cell>
        </row>
        <row r="1490">
          <cell r="G1490">
            <v>19340241</v>
          </cell>
          <cell r="O1490" t="str">
            <v>2025-10</v>
          </cell>
        </row>
        <row r="1491">
          <cell r="G1491">
            <v>16684439</v>
          </cell>
          <cell r="O1491" t="str">
            <v>2026-04</v>
          </cell>
        </row>
        <row r="1492">
          <cell r="G1492">
            <v>16704148</v>
          </cell>
          <cell r="O1492" t="str">
            <v>2026-06</v>
          </cell>
        </row>
        <row r="1493">
          <cell r="G1493">
            <v>16901349</v>
          </cell>
          <cell r="O1493" t="str">
            <v>2026-03</v>
          </cell>
        </row>
        <row r="1494">
          <cell r="G1494">
            <v>17058465</v>
          </cell>
          <cell r="O1494" t="str">
            <v>2025-12</v>
          </cell>
        </row>
        <row r="1495">
          <cell r="G1495">
            <v>17124667</v>
          </cell>
          <cell r="O1495" t="str">
            <v>2026-07</v>
          </cell>
        </row>
        <row r="1496">
          <cell r="G1496">
            <v>17133588</v>
          </cell>
          <cell r="O1496" t="str">
            <v>2026-01</v>
          </cell>
        </row>
        <row r="1497">
          <cell r="G1497">
            <v>17374396</v>
          </cell>
          <cell r="O1497" t="str">
            <v>2026-07</v>
          </cell>
        </row>
        <row r="1498">
          <cell r="G1498">
            <v>19043635</v>
          </cell>
          <cell r="O1498" t="str">
            <v>2027-07</v>
          </cell>
        </row>
        <row r="1499">
          <cell r="G1499">
            <v>19722383</v>
          </cell>
          <cell r="O1499" t="str">
            <v>2025-11</v>
          </cell>
        </row>
        <row r="1500">
          <cell r="G1500">
            <v>16455230</v>
          </cell>
          <cell r="O1500" t="str">
            <v>2026-06</v>
          </cell>
        </row>
        <row r="1501">
          <cell r="G1501">
            <v>16786702</v>
          </cell>
          <cell r="O1501" t="str">
            <v>2026-08</v>
          </cell>
        </row>
        <row r="1502">
          <cell r="G1502">
            <v>20630074</v>
          </cell>
          <cell r="O1502" t="str">
            <v>2026-03</v>
          </cell>
        </row>
        <row r="1503">
          <cell r="G1503">
            <v>20665471</v>
          </cell>
          <cell r="O1503" t="str">
            <v>2026-04</v>
          </cell>
        </row>
        <row r="1504">
          <cell r="G1504">
            <v>21707080</v>
          </cell>
          <cell r="O1504" t="str">
            <v>2026-01</v>
          </cell>
        </row>
        <row r="1505">
          <cell r="G1505">
            <v>897761</v>
          </cell>
          <cell r="O1505" t="str">
            <v>2026-08</v>
          </cell>
        </row>
        <row r="1506">
          <cell r="G1506">
            <v>15884986</v>
          </cell>
          <cell r="O1506" t="str">
            <v>2026-03</v>
          </cell>
        </row>
        <row r="1507">
          <cell r="G1507">
            <v>16678167</v>
          </cell>
          <cell r="O1507" t="str">
            <v>2026-10</v>
          </cell>
        </row>
        <row r="1508">
          <cell r="G1508">
            <v>16776049</v>
          </cell>
          <cell r="O1508" t="str">
            <v>2026-05</v>
          </cell>
        </row>
        <row r="1509">
          <cell r="G1509">
            <v>16812524</v>
          </cell>
          <cell r="O1509" t="str">
            <v>2026-10</v>
          </cell>
        </row>
        <row r="1510">
          <cell r="G1510">
            <v>101860</v>
          </cell>
          <cell r="O1510" t="str">
            <v>2026-02</v>
          </cell>
        </row>
        <row r="1511">
          <cell r="G1511">
            <v>103046</v>
          </cell>
          <cell r="O1511" t="str">
            <v>2026-04</v>
          </cell>
        </row>
        <row r="1512">
          <cell r="G1512">
            <v>103329</v>
          </cell>
          <cell r="O1512" t="str">
            <v>2026-03</v>
          </cell>
        </row>
        <row r="1513">
          <cell r="G1513">
            <v>103842</v>
          </cell>
          <cell r="O1513" t="str">
            <v>2026-04</v>
          </cell>
        </row>
        <row r="1514">
          <cell r="G1514">
            <v>105108</v>
          </cell>
          <cell r="O1514" t="str">
            <v>2026-05</v>
          </cell>
        </row>
        <row r="1515">
          <cell r="G1515">
            <v>107716</v>
          </cell>
          <cell r="O1515" t="str">
            <v>2026-07</v>
          </cell>
        </row>
        <row r="1516">
          <cell r="G1516">
            <v>111262</v>
          </cell>
          <cell r="O1516" t="str">
            <v>2026-01</v>
          </cell>
        </row>
        <row r="1517">
          <cell r="G1517">
            <v>111442</v>
          </cell>
          <cell r="O1517" t="str">
            <v>2026-10</v>
          </cell>
        </row>
        <row r="1518">
          <cell r="G1518">
            <v>112079</v>
          </cell>
          <cell r="O1518" t="str">
            <v>2026-05</v>
          </cell>
        </row>
        <row r="1519">
          <cell r="G1519">
            <v>113548</v>
          </cell>
          <cell r="O1519" t="str">
            <v>2025-12</v>
          </cell>
        </row>
        <row r="1520">
          <cell r="G1520">
            <v>114225</v>
          </cell>
          <cell r="O1520" t="str">
            <v>2026-01</v>
          </cell>
        </row>
        <row r="1521">
          <cell r="G1521">
            <v>115889</v>
          </cell>
          <cell r="O1521" t="str">
            <v>2026-04</v>
          </cell>
        </row>
        <row r="1522">
          <cell r="G1522">
            <v>116088</v>
          </cell>
          <cell r="O1522" t="str">
            <v>2026-03</v>
          </cell>
        </row>
        <row r="1523">
          <cell r="G1523">
            <v>116444</v>
          </cell>
          <cell r="O1523" t="str">
            <v>2026-03</v>
          </cell>
        </row>
        <row r="1524">
          <cell r="G1524">
            <v>116457</v>
          </cell>
          <cell r="O1524" t="str">
            <v>2026-03</v>
          </cell>
        </row>
        <row r="1525">
          <cell r="G1525">
            <v>119156</v>
          </cell>
          <cell r="O1525" t="str">
            <v>2026-01</v>
          </cell>
        </row>
        <row r="1526">
          <cell r="G1526">
            <v>119177</v>
          </cell>
          <cell r="O1526" t="str">
            <v>2026-01</v>
          </cell>
        </row>
        <row r="1527">
          <cell r="G1527">
            <v>120757</v>
          </cell>
          <cell r="O1527" t="str">
            <v>2026-01</v>
          </cell>
        </row>
        <row r="1528">
          <cell r="G1528">
            <v>123762</v>
          </cell>
          <cell r="O1528" t="str">
            <v>2025-11</v>
          </cell>
        </row>
        <row r="1529">
          <cell r="G1529">
            <v>124106</v>
          </cell>
          <cell r="O1529" t="str">
            <v>2025-11</v>
          </cell>
        </row>
        <row r="1530">
          <cell r="G1530">
            <v>124186</v>
          </cell>
          <cell r="O1530" t="str">
            <v>2025-12</v>
          </cell>
        </row>
        <row r="1531">
          <cell r="G1531">
            <v>124620</v>
          </cell>
          <cell r="O1531" t="str">
            <v>2025-12</v>
          </cell>
        </row>
        <row r="1532">
          <cell r="G1532">
            <v>125029</v>
          </cell>
          <cell r="O1532" t="str">
            <v>2026-01</v>
          </cell>
        </row>
        <row r="1533">
          <cell r="G1533">
            <v>126184</v>
          </cell>
          <cell r="O1533" t="str">
            <v>2025-10</v>
          </cell>
        </row>
        <row r="1534">
          <cell r="G1534">
            <v>126219</v>
          </cell>
          <cell r="O1534" t="str">
            <v>2026-02</v>
          </cell>
        </row>
        <row r="1535">
          <cell r="G1535">
            <v>127052</v>
          </cell>
          <cell r="O1535" t="str">
            <v>2026-03</v>
          </cell>
        </row>
        <row r="1536">
          <cell r="G1536">
            <v>128895</v>
          </cell>
          <cell r="O1536" t="str">
            <v>2026-05</v>
          </cell>
        </row>
        <row r="1537">
          <cell r="G1537">
            <v>130687</v>
          </cell>
          <cell r="O1537" t="str">
            <v>2026-07</v>
          </cell>
        </row>
        <row r="1538">
          <cell r="G1538">
            <v>130837</v>
          </cell>
          <cell r="O1538" t="str">
            <v>2026-07</v>
          </cell>
        </row>
        <row r="1539">
          <cell r="G1539">
            <v>130865</v>
          </cell>
          <cell r="O1539" t="str">
            <v>2026-01</v>
          </cell>
        </row>
        <row r="1540">
          <cell r="G1540">
            <v>130869</v>
          </cell>
          <cell r="O1540" t="str">
            <v>2026-01</v>
          </cell>
        </row>
        <row r="1541">
          <cell r="G1541">
            <v>130945</v>
          </cell>
          <cell r="O1541" t="str">
            <v>2026-08</v>
          </cell>
        </row>
        <row r="1542">
          <cell r="G1542">
            <v>131203</v>
          </cell>
          <cell r="O1542" t="str">
            <v>2026-08</v>
          </cell>
        </row>
        <row r="1543">
          <cell r="G1543">
            <v>131204</v>
          </cell>
          <cell r="O1543" t="str">
            <v>2026-08</v>
          </cell>
        </row>
        <row r="1544">
          <cell r="G1544">
            <v>131205</v>
          </cell>
          <cell r="O1544" t="str">
            <v>2026-08</v>
          </cell>
        </row>
        <row r="1545">
          <cell r="G1545">
            <v>131206</v>
          </cell>
          <cell r="O1545" t="str">
            <v>2026-08</v>
          </cell>
        </row>
        <row r="1546">
          <cell r="G1546">
            <v>131207</v>
          </cell>
          <cell r="O1546" t="str">
            <v>2026-08</v>
          </cell>
        </row>
        <row r="1547">
          <cell r="G1547">
            <v>131314</v>
          </cell>
          <cell r="O1547" t="str">
            <v>2026-08</v>
          </cell>
        </row>
        <row r="1548">
          <cell r="G1548">
            <v>131430</v>
          </cell>
          <cell r="O1548" t="str">
            <v>2025-11</v>
          </cell>
        </row>
        <row r="1549">
          <cell r="G1549">
            <v>131852</v>
          </cell>
          <cell r="O1549" t="str">
            <v>2026-03</v>
          </cell>
        </row>
        <row r="1550">
          <cell r="G1550">
            <v>132307</v>
          </cell>
          <cell r="O1550" t="str">
            <v>2026-09</v>
          </cell>
        </row>
        <row r="1551">
          <cell r="G1551">
            <v>132765</v>
          </cell>
          <cell r="O1551" t="str">
            <v>2026-10</v>
          </cell>
        </row>
        <row r="1552">
          <cell r="G1552">
            <v>132858</v>
          </cell>
          <cell r="O1552" t="str">
            <v>2025-10</v>
          </cell>
        </row>
        <row r="1553">
          <cell r="G1553">
            <v>15584</v>
          </cell>
          <cell r="O1553" t="str">
            <v>2026-05</v>
          </cell>
        </row>
        <row r="1554">
          <cell r="G1554">
            <v>22643</v>
          </cell>
          <cell r="O1554" t="str">
            <v>2026-02</v>
          </cell>
        </row>
        <row r="1555">
          <cell r="G1555">
            <v>66612</v>
          </cell>
          <cell r="O1555" t="str">
            <v>2026-02</v>
          </cell>
        </row>
        <row r="1556">
          <cell r="G1556">
            <v>67752</v>
          </cell>
          <cell r="O1556" t="str">
            <v>2025-11</v>
          </cell>
        </row>
        <row r="1557">
          <cell r="G1557">
            <v>67920</v>
          </cell>
          <cell r="O1557" t="str">
            <v>2026-02</v>
          </cell>
        </row>
        <row r="1558">
          <cell r="G1558">
            <v>69602</v>
          </cell>
          <cell r="O1558" t="str">
            <v>2026-02</v>
          </cell>
        </row>
        <row r="1559">
          <cell r="G1559">
            <v>70314</v>
          </cell>
          <cell r="O1559" t="str">
            <v>2026-01</v>
          </cell>
        </row>
        <row r="1560">
          <cell r="G1560">
            <v>75392</v>
          </cell>
          <cell r="O1560" t="str">
            <v>2025-10</v>
          </cell>
        </row>
        <row r="1561">
          <cell r="G1561">
            <v>76103</v>
          </cell>
          <cell r="O1561" t="str">
            <v>2026-10</v>
          </cell>
        </row>
        <row r="1562">
          <cell r="G1562">
            <v>78915</v>
          </cell>
          <cell r="O1562" t="str">
            <v>2026-08</v>
          </cell>
        </row>
        <row r="1563">
          <cell r="G1563">
            <v>78916</v>
          </cell>
          <cell r="O1563" t="str">
            <v>2026-02</v>
          </cell>
        </row>
        <row r="1564">
          <cell r="G1564">
            <v>79795</v>
          </cell>
          <cell r="O1564" t="str">
            <v>2026-01</v>
          </cell>
        </row>
        <row r="1565">
          <cell r="G1565">
            <v>80788</v>
          </cell>
          <cell r="O1565" t="str">
            <v>2026-03</v>
          </cell>
        </row>
        <row r="1566">
          <cell r="G1566">
            <v>81424</v>
          </cell>
          <cell r="O1566" t="str">
            <v>2026-04</v>
          </cell>
        </row>
        <row r="1567">
          <cell r="G1567">
            <v>83344</v>
          </cell>
          <cell r="O1567" t="str">
            <v>2025-12</v>
          </cell>
        </row>
        <row r="1568">
          <cell r="G1568">
            <v>89173</v>
          </cell>
          <cell r="O1568" t="str">
            <v>2026-02</v>
          </cell>
        </row>
        <row r="1569">
          <cell r="G1569">
            <v>89770</v>
          </cell>
          <cell r="O1569" t="str">
            <v>2026-03</v>
          </cell>
        </row>
        <row r="1570">
          <cell r="G1570">
            <v>90158</v>
          </cell>
          <cell r="O1570" t="str">
            <v>2026-04</v>
          </cell>
        </row>
        <row r="1571">
          <cell r="G1571">
            <v>92391</v>
          </cell>
          <cell r="O1571" t="str">
            <v>2026-06</v>
          </cell>
        </row>
        <row r="1572">
          <cell r="G1572">
            <v>94858</v>
          </cell>
          <cell r="O1572" t="str">
            <v>2026-08</v>
          </cell>
        </row>
        <row r="1573">
          <cell r="G1573">
            <v>95567</v>
          </cell>
          <cell r="O1573" t="str">
            <v>2025-12</v>
          </cell>
        </row>
        <row r="1574">
          <cell r="G1574">
            <v>95888</v>
          </cell>
          <cell r="O1574" t="str">
            <v>2026-09</v>
          </cell>
        </row>
        <row r="1575">
          <cell r="G1575">
            <v>96400</v>
          </cell>
          <cell r="O1575" t="str">
            <v>2025-11</v>
          </cell>
        </row>
        <row r="1576">
          <cell r="G1576">
            <v>96745</v>
          </cell>
          <cell r="O1576" t="str">
            <v>2026-10</v>
          </cell>
        </row>
        <row r="1577">
          <cell r="G1577">
            <v>90335</v>
          </cell>
          <cell r="O1577" t="str">
            <v>2025-10</v>
          </cell>
        </row>
        <row r="1578">
          <cell r="G1578">
            <v>1131477</v>
          </cell>
          <cell r="O1578" t="str">
            <v>2025-12</v>
          </cell>
        </row>
        <row r="1579">
          <cell r="G1579">
            <v>14106411</v>
          </cell>
          <cell r="O1579" t="str">
            <v>2026-07</v>
          </cell>
        </row>
        <row r="1580">
          <cell r="G1580">
            <v>14587855</v>
          </cell>
          <cell r="O1580" t="str">
            <v>2026-03</v>
          </cell>
        </row>
        <row r="1581">
          <cell r="G1581">
            <v>14596127</v>
          </cell>
          <cell r="O1581" t="str">
            <v>2026-05</v>
          </cell>
        </row>
        <row r="1582">
          <cell r="G1582">
            <v>15035713</v>
          </cell>
          <cell r="O1582" t="str">
            <v>2026-07</v>
          </cell>
        </row>
        <row r="1583">
          <cell r="G1583">
            <v>15635866</v>
          </cell>
          <cell r="O1583" t="str">
            <v>2026-05</v>
          </cell>
        </row>
        <row r="1584">
          <cell r="G1584">
            <v>15640003</v>
          </cell>
          <cell r="O1584" t="str">
            <v>2026-05</v>
          </cell>
        </row>
        <row r="1585">
          <cell r="G1585">
            <v>15654034</v>
          </cell>
          <cell r="O1585" t="str">
            <v>2026-06</v>
          </cell>
        </row>
        <row r="1586">
          <cell r="G1586">
            <v>16436031</v>
          </cell>
          <cell r="O1586" t="str">
            <v>2026-05</v>
          </cell>
        </row>
        <row r="1587">
          <cell r="G1587">
            <v>16472702</v>
          </cell>
          <cell r="O1587" t="str">
            <v>2026-07</v>
          </cell>
        </row>
        <row r="1588">
          <cell r="G1588">
            <v>16473693</v>
          </cell>
          <cell r="O1588" t="str">
            <v>2026-07</v>
          </cell>
        </row>
        <row r="1589">
          <cell r="G1589">
            <v>16489537</v>
          </cell>
          <cell r="O1589" t="str">
            <v>2026-09</v>
          </cell>
        </row>
        <row r="1590">
          <cell r="G1590">
            <v>16581467</v>
          </cell>
          <cell r="O1590" t="str">
            <v>2026-02</v>
          </cell>
        </row>
        <row r="1591">
          <cell r="G1591">
            <v>16664712</v>
          </cell>
          <cell r="O1591" t="str">
            <v>2026-07</v>
          </cell>
        </row>
        <row r="1592">
          <cell r="G1592">
            <v>16670877</v>
          </cell>
          <cell r="O1592" t="str">
            <v>2026-09</v>
          </cell>
        </row>
        <row r="1593">
          <cell r="G1593">
            <v>16672558</v>
          </cell>
          <cell r="O1593" t="str">
            <v>2026-08</v>
          </cell>
        </row>
        <row r="1594">
          <cell r="G1594">
            <v>16678219</v>
          </cell>
          <cell r="O1594" t="str">
            <v>2026-09</v>
          </cell>
        </row>
        <row r="1595">
          <cell r="G1595">
            <v>16690888</v>
          </cell>
          <cell r="O1595" t="str">
            <v>2026-11</v>
          </cell>
        </row>
        <row r="1596">
          <cell r="G1596">
            <v>16706289</v>
          </cell>
          <cell r="O1596" t="str">
            <v>2026-11</v>
          </cell>
        </row>
        <row r="1597">
          <cell r="G1597">
            <v>16744704</v>
          </cell>
          <cell r="O1597" t="str">
            <v>2026-04</v>
          </cell>
        </row>
        <row r="1598">
          <cell r="G1598">
            <v>16745245</v>
          </cell>
          <cell r="O1598" t="str">
            <v>2026-03</v>
          </cell>
        </row>
        <row r="1599">
          <cell r="G1599">
            <v>16757269</v>
          </cell>
          <cell r="O1599" t="str">
            <v>2026-04</v>
          </cell>
        </row>
        <row r="1600">
          <cell r="G1600">
            <v>16778041</v>
          </cell>
          <cell r="O1600" t="str">
            <v>2026-06</v>
          </cell>
        </row>
        <row r="1601">
          <cell r="G1601">
            <v>16778100</v>
          </cell>
          <cell r="O1601" t="str">
            <v>2026-06</v>
          </cell>
        </row>
        <row r="1602">
          <cell r="G1602">
            <v>16788882</v>
          </cell>
          <cell r="O1602" t="str">
            <v>2026-06</v>
          </cell>
        </row>
        <row r="1603">
          <cell r="G1603">
            <v>16798713</v>
          </cell>
          <cell r="O1603" t="str">
            <v>2026-07</v>
          </cell>
        </row>
        <row r="1604">
          <cell r="G1604">
            <v>16909899</v>
          </cell>
          <cell r="O1604" t="str">
            <v>2026-03</v>
          </cell>
        </row>
        <row r="1605">
          <cell r="G1605">
            <v>16990231</v>
          </cell>
          <cell r="O1605" t="str">
            <v>2026-06</v>
          </cell>
        </row>
        <row r="1606">
          <cell r="G1606">
            <v>17007365</v>
          </cell>
          <cell r="O1606" t="str">
            <v>2026-06</v>
          </cell>
        </row>
        <row r="1607">
          <cell r="G1607">
            <v>17019498</v>
          </cell>
          <cell r="O1607" t="str">
            <v>2026-07</v>
          </cell>
        </row>
        <row r="1608">
          <cell r="G1608">
            <v>17077464</v>
          </cell>
          <cell r="O1608" t="str">
            <v>2026-09</v>
          </cell>
        </row>
        <row r="1609">
          <cell r="G1609">
            <v>17107176</v>
          </cell>
          <cell r="O1609" t="str">
            <v>2026-11</v>
          </cell>
        </row>
        <row r="1610">
          <cell r="G1610">
            <v>17150807</v>
          </cell>
          <cell r="O1610" t="str">
            <v>2026-02</v>
          </cell>
        </row>
        <row r="1611">
          <cell r="G1611">
            <v>17151088</v>
          </cell>
          <cell r="O1611" t="str">
            <v>2026-02</v>
          </cell>
        </row>
        <row r="1612">
          <cell r="G1612">
            <v>17151901</v>
          </cell>
          <cell r="O1612" t="str">
            <v>2026-11</v>
          </cell>
        </row>
        <row r="1613">
          <cell r="G1613">
            <v>17226104</v>
          </cell>
          <cell r="O1613" t="str">
            <v>2026-04</v>
          </cell>
        </row>
        <row r="1614">
          <cell r="G1614">
            <v>17255768</v>
          </cell>
          <cell r="O1614" t="str">
            <v>2026-05</v>
          </cell>
        </row>
        <row r="1615">
          <cell r="G1615">
            <v>17297780</v>
          </cell>
          <cell r="O1615" t="str">
            <v>2026-05</v>
          </cell>
        </row>
        <row r="1616">
          <cell r="G1616">
            <v>17506731</v>
          </cell>
          <cell r="O1616" t="str">
            <v>2026-11</v>
          </cell>
        </row>
        <row r="1617">
          <cell r="G1617">
            <v>17526301</v>
          </cell>
          <cell r="O1617" t="str">
            <v>2026-11</v>
          </cell>
        </row>
        <row r="1618">
          <cell r="G1618">
            <v>17589060</v>
          </cell>
          <cell r="O1618" t="str">
            <v>2026-11</v>
          </cell>
        </row>
        <row r="1619">
          <cell r="G1619">
            <v>18096967</v>
          </cell>
          <cell r="O1619" t="str">
            <v>2026-03</v>
          </cell>
        </row>
        <row r="1620">
          <cell r="G1620">
            <v>18505707</v>
          </cell>
          <cell r="O1620" t="str">
            <v>2026-05</v>
          </cell>
        </row>
        <row r="1621">
          <cell r="G1621">
            <v>18554480</v>
          </cell>
          <cell r="O1621" t="str">
            <v>2026-05</v>
          </cell>
        </row>
        <row r="1622">
          <cell r="G1622">
            <v>19127652</v>
          </cell>
          <cell r="O1622" t="str">
            <v>2026-08</v>
          </cell>
        </row>
        <row r="1623">
          <cell r="G1623">
            <v>19216244</v>
          </cell>
          <cell r="O1623" t="str">
            <v>2026-08</v>
          </cell>
        </row>
        <row r="1624">
          <cell r="G1624">
            <v>19485873</v>
          </cell>
          <cell r="O1624" t="str">
            <v>2026-10</v>
          </cell>
        </row>
        <row r="1625">
          <cell r="G1625">
            <v>19496408</v>
          </cell>
          <cell r="O1625" t="str">
            <v>2026-10</v>
          </cell>
        </row>
        <row r="1626">
          <cell r="G1626">
            <v>19782476</v>
          </cell>
          <cell r="O1626" t="str">
            <v>2025-12</v>
          </cell>
        </row>
        <row r="1627">
          <cell r="G1627">
            <v>19788397</v>
          </cell>
          <cell r="O1627" t="str">
            <v>2025-12</v>
          </cell>
        </row>
        <row r="1628">
          <cell r="G1628">
            <v>20110530</v>
          </cell>
          <cell r="O1628" t="str">
            <v>2026-01</v>
          </cell>
        </row>
        <row r="1629">
          <cell r="G1629">
            <v>20598255</v>
          </cell>
          <cell r="O1629" t="str">
            <v>2026-03</v>
          </cell>
        </row>
        <row r="1630">
          <cell r="G1630">
            <v>20600542</v>
          </cell>
          <cell r="O1630" t="str">
            <v>2026-03</v>
          </cell>
        </row>
        <row r="1631">
          <cell r="G1631">
            <v>21099599</v>
          </cell>
          <cell r="O1631" t="str">
            <v>2026-05</v>
          </cell>
        </row>
        <row r="1632">
          <cell r="G1632">
            <v>21146564</v>
          </cell>
          <cell r="O1632" t="str">
            <v>2026-06</v>
          </cell>
        </row>
        <row r="1633">
          <cell r="G1633">
            <v>21417378</v>
          </cell>
          <cell r="O1633" t="str">
            <v>2026-09</v>
          </cell>
        </row>
        <row r="1634">
          <cell r="G1634">
            <v>21474565</v>
          </cell>
          <cell r="O1634" t="str">
            <v>2026-09</v>
          </cell>
        </row>
        <row r="1635">
          <cell r="G1635">
            <v>2514890</v>
          </cell>
          <cell r="O1635" t="str">
            <v>2026-07</v>
          </cell>
        </row>
        <row r="1636">
          <cell r="G1636">
            <v>4071242</v>
          </cell>
          <cell r="O1636" t="str">
            <v>2026-09</v>
          </cell>
        </row>
        <row r="1637">
          <cell r="G1637">
            <v>409239</v>
          </cell>
          <cell r="O1637" t="str">
            <v>2026-10</v>
          </cell>
        </row>
        <row r="1638">
          <cell r="G1638">
            <v>416406</v>
          </cell>
          <cell r="O1638" t="str">
            <v>2026-05</v>
          </cell>
        </row>
        <row r="1639">
          <cell r="G1639">
            <v>428294</v>
          </cell>
          <cell r="O1639" t="str">
            <v>2026-11</v>
          </cell>
        </row>
        <row r="1640">
          <cell r="G1640">
            <v>428514</v>
          </cell>
          <cell r="O1640" t="str">
            <v>2026-10</v>
          </cell>
        </row>
        <row r="1641">
          <cell r="G1641">
            <v>4741849</v>
          </cell>
          <cell r="O1641" t="str">
            <v>2026-06</v>
          </cell>
        </row>
        <row r="1642">
          <cell r="G1642">
            <v>4911107</v>
          </cell>
          <cell r="O1642" t="str">
            <v>2026-09</v>
          </cell>
        </row>
        <row r="1643">
          <cell r="G1643">
            <v>4980230</v>
          </cell>
          <cell r="O1643" t="str">
            <v>2026-09</v>
          </cell>
        </row>
        <row r="1644">
          <cell r="G1644">
            <v>5484482</v>
          </cell>
          <cell r="O1644" t="str">
            <v>2026-04</v>
          </cell>
        </row>
        <row r="1645">
          <cell r="G1645">
            <v>6389743</v>
          </cell>
          <cell r="O1645" t="str">
            <v>2026-11</v>
          </cell>
        </row>
        <row r="1646">
          <cell r="G1646">
            <v>7908843</v>
          </cell>
          <cell r="O1646" t="str">
            <v>2026-09</v>
          </cell>
        </row>
        <row r="1647">
          <cell r="G1647">
            <v>7933561</v>
          </cell>
          <cell r="O1647" t="str">
            <v>2026-09</v>
          </cell>
        </row>
        <row r="1648">
          <cell r="G1648">
            <v>794445</v>
          </cell>
          <cell r="O1648" t="str">
            <v>2026-05</v>
          </cell>
        </row>
        <row r="1649">
          <cell r="G1649">
            <v>817913</v>
          </cell>
          <cell r="O1649" t="str">
            <v>2026-06</v>
          </cell>
        </row>
        <row r="1650">
          <cell r="G1650">
            <v>994266</v>
          </cell>
          <cell r="O1650" t="str">
            <v>2026-09</v>
          </cell>
        </row>
        <row r="1651">
          <cell r="G1651">
            <v>2000480095</v>
          </cell>
          <cell r="O1651" t="str">
            <v>2026-09</v>
          </cell>
        </row>
        <row r="1652">
          <cell r="G1652">
            <v>2001284952</v>
          </cell>
          <cell r="O1652" t="str">
            <v>2026-01</v>
          </cell>
        </row>
        <row r="1653">
          <cell r="G1653">
            <v>2001385236</v>
          </cell>
          <cell r="O1653" t="str">
            <v>2026-02</v>
          </cell>
        </row>
        <row r="1654">
          <cell r="G1654">
            <v>2001389891</v>
          </cell>
          <cell r="O1654" t="str">
            <v>2026-02</v>
          </cell>
        </row>
        <row r="1655">
          <cell r="G1655">
            <v>2001542914</v>
          </cell>
          <cell r="O1655" t="str">
            <v>2026-03</v>
          </cell>
        </row>
        <row r="1656">
          <cell r="G1656">
            <v>2001547454</v>
          </cell>
          <cell r="O1656" t="str">
            <v>2026-03</v>
          </cell>
        </row>
        <row r="1657">
          <cell r="G1657">
            <v>2001814106</v>
          </cell>
          <cell r="O1657" t="str">
            <v>2026-07</v>
          </cell>
        </row>
        <row r="1658">
          <cell r="G1658">
            <v>2001816564</v>
          </cell>
          <cell r="O1658" t="str">
            <v>2026-07</v>
          </cell>
        </row>
        <row r="1659">
          <cell r="G1659">
            <v>2001816632</v>
          </cell>
          <cell r="O1659" t="str">
            <v>2026-08</v>
          </cell>
        </row>
        <row r="1660">
          <cell r="G1660">
            <v>2002349631</v>
          </cell>
          <cell r="O1660" t="str">
            <v>2026-01</v>
          </cell>
        </row>
        <row r="1661">
          <cell r="G1661">
            <v>2003157074</v>
          </cell>
          <cell r="O1661" t="str">
            <v>2026-10</v>
          </cell>
        </row>
        <row r="1662">
          <cell r="G1662">
            <v>2003823834</v>
          </cell>
          <cell r="O1662" t="str">
            <v>2026-05</v>
          </cell>
        </row>
        <row r="1663">
          <cell r="G1663">
            <v>2003824207</v>
          </cell>
          <cell r="O1663" t="str">
            <v>2026-05</v>
          </cell>
        </row>
        <row r="1664">
          <cell r="G1664">
            <v>2003851229</v>
          </cell>
          <cell r="O1664" t="str">
            <v>2026-06</v>
          </cell>
        </row>
        <row r="1665">
          <cell r="G1665">
            <v>2003871962</v>
          </cell>
          <cell r="O1665" t="str">
            <v>2026-06</v>
          </cell>
        </row>
        <row r="1666">
          <cell r="G1666">
            <v>2004102448</v>
          </cell>
          <cell r="O1666" t="str">
            <v>2026-08</v>
          </cell>
        </row>
        <row r="1667">
          <cell r="G1667">
            <v>2004416081</v>
          </cell>
          <cell r="O1667" t="str">
            <v>2026-03</v>
          </cell>
        </row>
        <row r="1668">
          <cell r="G1668">
            <v>2005060150</v>
          </cell>
          <cell r="O1668" t="str">
            <v>2026-10</v>
          </cell>
        </row>
        <row r="1669">
          <cell r="G1669">
            <v>2005306369</v>
          </cell>
          <cell r="O1669" t="str">
            <v>2026-01</v>
          </cell>
        </row>
        <row r="1670">
          <cell r="G1670">
            <v>2005546172</v>
          </cell>
          <cell r="O1670" t="str">
            <v>2026-03</v>
          </cell>
        </row>
        <row r="1671">
          <cell r="G1671">
            <v>2005546182</v>
          </cell>
          <cell r="O1671" t="str">
            <v>2026-03</v>
          </cell>
        </row>
        <row r="1672">
          <cell r="G1672">
            <v>2005696662</v>
          </cell>
          <cell r="O1672" t="str">
            <v>2026-05</v>
          </cell>
        </row>
        <row r="1673">
          <cell r="G1673">
            <v>2006249406</v>
          </cell>
          <cell r="O1673" t="str">
            <v>2026-09</v>
          </cell>
        </row>
        <row r="1674">
          <cell r="G1674">
            <v>2006488382</v>
          </cell>
          <cell r="O1674" t="str">
            <v>2025-11</v>
          </cell>
        </row>
        <row r="1675">
          <cell r="G1675">
            <v>2006751451</v>
          </cell>
          <cell r="O1675" t="str">
            <v>2026-02</v>
          </cell>
        </row>
        <row r="1676">
          <cell r="G1676">
            <v>2006940564</v>
          </cell>
          <cell r="O1676" t="str">
            <v>2026-04</v>
          </cell>
        </row>
        <row r="1677">
          <cell r="G1677">
            <v>2007114992</v>
          </cell>
          <cell r="O1677" t="str">
            <v>2026-06</v>
          </cell>
        </row>
        <row r="1678">
          <cell r="G1678">
            <v>2007420076</v>
          </cell>
          <cell r="O1678" t="str">
            <v>2026-08</v>
          </cell>
        </row>
        <row r="1679">
          <cell r="G1679">
            <v>2008162417</v>
          </cell>
          <cell r="O1679" t="str">
            <v>2026-02</v>
          </cell>
        </row>
        <row r="1680">
          <cell r="G1680">
            <v>2008469168</v>
          </cell>
          <cell r="O1680" t="str">
            <v>2026-05</v>
          </cell>
        </row>
        <row r="1681">
          <cell r="G1681">
            <v>2009456963</v>
          </cell>
          <cell r="O1681" t="str">
            <v>2026-11</v>
          </cell>
        </row>
        <row r="1682">
          <cell r="G1682">
            <v>2009911907</v>
          </cell>
          <cell r="O1682" t="str">
            <v>2026-04</v>
          </cell>
        </row>
        <row r="1683">
          <cell r="G1683">
            <v>2010410518</v>
          </cell>
          <cell r="O1683" t="str">
            <v>2026-08</v>
          </cell>
        </row>
        <row r="1684">
          <cell r="G1684">
            <v>2011064853</v>
          </cell>
          <cell r="O1684" t="str">
            <v>2025-12</v>
          </cell>
        </row>
        <row r="1685">
          <cell r="G1685">
            <v>2011215021</v>
          </cell>
          <cell r="O1685" t="str">
            <v>2025-12</v>
          </cell>
        </row>
        <row r="1686">
          <cell r="G1686">
            <v>2011463307</v>
          </cell>
          <cell r="O1686" t="str">
            <v>2026-03</v>
          </cell>
        </row>
        <row r="1687">
          <cell r="G1687">
            <v>2011508984</v>
          </cell>
          <cell r="O1687" t="str">
            <v>2026-04</v>
          </cell>
        </row>
        <row r="1688">
          <cell r="G1688">
            <v>2011920204</v>
          </cell>
          <cell r="O1688" t="str">
            <v>2026-09</v>
          </cell>
        </row>
        <row r="1689">
          <cell r="G1689">
            <v>2000241505</v>
          </cell>
          <cell r="O1689" t="str">
            <v>2026-09</v>
          </cell>
        </row>
        <row r="1690">
          <cell r="G1690">
            <v>2000302292</v>
          </cell>
          <cell r="O1690" t="str">
            <v>2026-03</v>
          </cell>
        </row>
        <row r="1691">
          <cell r="G1691">
            <v>2001533637</v>
          </cell>
          <cell r="O1691" t="str">
            <v>2026-03</v>
          </cell>
        </row>
        <row r="1692">
          <cell r="G1692">
            <v>2001541777</v>
          </cell>
          <cell r="O1692" t="str">
            <v>2026-03</v>
          </cell>
        </row>
        <row r="1693">
          <cell r="G1693">
            <v>2001976530</v>
          </cell>
          <cell r="O1693" t="str">
            <v>2026-08</v>
          </cell>
        </row>
        <row r="1694">
          <cell r="G1694">
            <v>2002663533</v>
          </cell>
          <cell r="O1694" t="str">
            <v>2026-05</v>
          </cell>
        </row>
        <row r="1695">
          <cell r="G1695">
            <v>2002950227</v>
          </cell>
          <cell r="O1695" t="str">
            <v>2026-08</v>
          </cell>
        </row>
        <row r="1696">
          <cell r="G1696">
            <v>2003805803</v>
          </cell>
          <cell r="O1696" t="str">
            <v>2026-05</v>
          </cell>
        </row>
        <row r="1697">
          <cell r="G1697">
            <v>2004277937</v>
          </cell>
          <cell r="O1697" t="str">
            <v>2026-11</v>
          </cell>
        </row>
        <row r="1698">
          <cell r="G1698">
            <v>2005084558</v>
          </cell>
          <cell r="O1698" t="str">
            <v>2026-10</v>
          </cell>
        </row>
        <row r="1699">
          <cell r="G1699">
            <v>2006906849</v>
          </cell>
          <cell r="O1699" t="str">
            <v>2026-03</v>
          </cell>
        </row>
        <row r="1700">
          <cell r="G1700">
            <v>2006970993</v>
          </cell>
          <cell r="O1700" t="str">
            <v>2026-04</v>
          </cell>
        </row>
        <row r="1701">
          <cell r="G1701">
            <v>2007909884</v>
          </cell>
          <cell r="O1701" t="str">
            <v>2026-02</v>
          </cell>
        </row>
        <row r="1702">
          <cell r="G1702">
            <v>2007961738</v>
          </cell>
          <cell r="O1702" t="str">
            <v>2026-01</v>
          </cell>
        </row>
        <row r="1703">
          <cell r="G1703">
            <v>2007972253</v>
          </cell>
          <cell r="O1703" t="str">
            <v>2026-01</v>
          </cell>
        </row>
        <row r="1704">
          <cell r="G1704">
            <v>2007998175</v>
          </cell>
          <cell r="O1704" t="str">
            <v>2026-01</v>
          </cell>
        </row>
        <row r="1705">
          <cell r="G1705">
            <v>2008398149</v>
          </cell>
          <cell r="O1705" t="str">
            <v>2026-04</v>
          </cell>
        </row>
        <row r="1706">
          <cell r="G1706">
            <v>2008496460</v>
          </cell>
          <cell r="O1706" t="str">
            <v>2026-06</v>
          </cell>
        </row>
        <row r="1707">
          <cell r="G1707">
            <v>2008496462</v>
          </cell>
          <cell r="O1707" t="str">
            <v>2026-06</v>
          </cell>
        </row>
        <row r="1708">
          <cell r="G1708">
            <v>2008496475</v>
          </cell>
          <cell r="O1708" t="str">
            <v>2026-06</v>
          </cell>
        </row>
        <row r="1709">
          <cell r="G1709">
            <v>2008496478</v>
          </cell>
          <cell r="O1709" t="str">
            <v>2026-06</v>
          </cell>
        </row>
        <row r="1710">
          <cell r="G1710">
            <v>2008496481</v>
          </cell>
          <cell r="O1710" t="str">
            <v>2026-06</v>
          </cell>
        </row>
        <row r="1711">
          <cell r="G1711">
            <v>2008496483</v>
          </cell>
          <cell r="O1711" t="str">
            <v>2026-06</v>
          </cell>
        </row>
        <row r="1712">
          <cell r="G1712">
            <v>2008501231</v>
          </cell>
          <cell r="O1712" t="str">
            <v>2026-06</v>
          </cell>
        </row>
        <row r="1713">
          <cell r="G1713">
            <v>2008501257</v>
          </cell>
          <cell r="O1713" t="str">
            <v>2026-06</v>
          </cell>
        </row>
        <row r="1714">
          <cell r="G1714">
            <v>2008501307</v>
          </cell>
          <cell r="O1714" t="str">
            <v>2026-06</v>
          </cell>
        </row>
        <row r="1715">
          <cell r="G1715">
            <v>2008501310</v>
          </cell>
          <cell r="O1715" t="str">
            <v>2026-06</v>
          </cell>
        </row>
        <row r="1716">
          <cell r="G1716">
            <v>2008501321</v>
          </cell>
          <cell r="O1716" t="str">
            <v>2026-06</v>
          </cell>
        </row>
        <row r="1717">
          <cell r="G1717">
            <v>2008501329</v>
          </cell>
          <cell r="O1717" t="str">
            <v>2026-06</v>
          </cell>
        </row>
        <row r="1718">
          <cell r="G1718">
            <v>2008529058</v>
          </cell>
          <cell r="O1718" t="str">
            <v>2026-05</v>
          </cell>
        </row>
        <row r="1719">
          <cell r="G1719">
            <v>2008557118</v>
          </cell>
          <cell r="O1719" t="str">
            <v>2026-06</v>
          </cell>
        </row>
        <row r="1720">
          <cell r="G1720">
            <v>2008557334</v>
          </cell>
          <cell r="O1720" t="str">
            <v>2026-05</v>
          </cell>
        </row>
        <row r="1721">
          <cell r="G1721">
            <v>2008583593</v>
          </cell>
          <cell r="O1721" t="str">
            <v>2026-06</v>
          </cell>
        </row>
        <row r="1722">
          <cell r="G1722">
            <v>2008592556</v>
          </cell>
          <cell r="O1722" t="str">
            <v>2026-06</v>
          </cell>
        </row>
        <row r="1723">
          <cell r="G1723">
            <v>2008639519</v>
          </cell>
          <cell r="O1723" t="str">
            <v>2026-07</v>
          </cell>
        </row>
        <row r="1724">
          <cell r="G1724">
            <v>2008643967</v>
          </cell>
          <cell r="O1724" t="str">
            <v>2026-07</v>
          </cell>
        </row>
        <row r="1725">
          <cell r="G1725">
            <v>2008643987</v>
          </cell>
          <cell r="O1725" t="str">
            <v>2026-07</v>
          </cell>
        </row>
        <row r="1726">
          <cell r="G1726">
            <v>2008644017</v>
          </cell>
          <cell r="O1726" t="str">
            <v>2026-07</v>
          </cell>
        </row>
        <row r="1727">
          <cell r="G1727">
            <v>2008644098</v>
          </cell>
          <cell r="O1727" t="str">
            <v>2026-07</v>
          </cell>
        </row>
        <row r="1728">
          <cell r="G1728">
            <v>2008681278</v>
          </cell>
          <cell r="O1728" t="str">
            <v>2026-06</v>
          </cell>
        </row>
        <row r="1729">
          <cell r="G1729">
            <v>2008782704</v>
          </cell>
          <cell r="O1729" t="str">
            <v>2026-08</v>
          </cell>
        </row>
        <row r="1730">
          <cell r="G1730">
            <v>2008783311</v>
          </cell>
          <cell r="O1730" t="str">
            <v>2026-08</v>
          </cell>
        </row>
        <row r="1731">
          <cell r="G1731">
            <v>2008783428</v>
          </cell>
          <cell r="O1731" t="str">
            <v>2026-08</v>
          </cell>
        </row>
        <row r="1732">
          <cell r="G1732">
            <v>2008784406</v>
          </cell>
          <cell r="O1732" t="str">
            <v>2026-08</v>
          </cell>
        </row>
        <row r="1733">
          <cell r="G1733">
            <v>2008784441</v>
          </cell>
          <cell r="O1733" t="str">
            <v>2026-08</v>
          </cell>
        </row>
        <row r="1734">
          <cell r="G1734">
            <v>2008784847</v>
          </cell>
          <cell r="O1734" t="str">
            <v>2026-08</v>
          </cell>
        </row>
        <row r="1735">
          <cell r="G1735">
            <v>2008784952</v>
          </cell>
          <cell r="O1735" t="str">
            <v>2026-08</v>
          </cell>
        </row>
        <row r="1736">
          <cell r="G1736">
            <v>2008785255</v>
          </cell>
          <cell r="O1736" t="str">
            <v>2026-08</v>
          </cell>
        </row>
        <row r="1737">
          <cell r="G1737">
            <v>2008791360</v>
          </cell>
          <cell r="O1737" t="str">
            <v>2026-08</v>
          </cell>
        </row>
        <row r="1738">
          <cell r="G1738">
            <v>2008791495</v>
          </cell>
          <cell r="O1738" t="str">
            <v>2026-08</v>
          </cell>
        </row>
        <row r="1739">
          <cell r="G1739">
            <v>2008791695</v>
          </cell>
          <cell r="O1739" t="str">
            <v>2026-08</v>
          </cell>
        </row>
        <row r="1740">
          <cell r="G1740">
            <v>2008791925</v>
          </cell>
          <cell r="O1740" t="str">
            <v>2026-08</v>
          </cell>
        </row>
        <row r="1741">
          <cell r="G1741">
            <v>2008792044</v>
          </cell>
          <cell r="O1741" t="str">
            <v>2026-08</v>
          </cell>
        </row>
        <row r="1742">
          <cell r="G1742">
            <v>2008792117</v>
          </cell>
          <cell r="O1742" t="str">
            <v>2026-08</v>
          </cell>
        </row>
        <row r="1743">
          <cell r="G1743">
            <v>2008792332</v>
          </cell>
          <cell r="O1743" t="str">
            <v>2026-08</v>
          </cell>
        </row>
        <row r="1744">
          <cell r="G1744">
            <v>2008792377</v>
          </cell>
          <cell r="O1744" t="str">
            <v>2026-08</v>
          </cell>
        </row>
        <row r="1745">
          <cell r="G1745">
            <v>2008792400</v>
          </cell>
          <cell r="O1745" t="str">
            <v>2026-08</v>
          </cell>
        </row>
        <row r="1746">
          <cell r="G1746">
            <v>2008797193</v>
          </cell>
          <cell r="O1746" t="str">
            <v>2026-09</v>
          </cell>
        </row>
        <row r="1747">
          <cell r="G1747">
            <v>2008797355</v>
          </cell>
          <cell r="O1747" t="str">
            <v>2026-09</v>
          </cell>
        </row>
        <row r="1748">
          <cell r="G1748">
            <v>2008797469</v>
          </cell>
          <cell r="O1748" t="str">
            <v>2026-09</v>
          </cell>
        </row>
        <row r="1749">
          <cell r="G1749">
            <v>2008797534</v>
          </cell>
          <cell r="O1749" t="str">
            <v>2026-09</v>
          </cell>
        </row>
        <row r="1750">
          <cell r="G1750">
            <v>2008797562</v>
          </cell>
          <cell r="O1750" t="str">
            <v>2026-09</v>
          </cell>
        </row>
        <row r="1751">
          <cell r="G1751">
            <v>2008797792</v>
          </cell>
          <cell r="O1751" t="str">
            <v>2026-09</v>
          </cell>
        </row>
        <row r="1752">
          <cell r="G1752">
            <v>2008797916</v>
          </cell>
          <cell r="O1752" t="str">
            <v>2026-09</v>
          </cell>
        </row>
        <row r="1753">
          <cell r="G1753">
            <v>2008798058</v>
          </cell>
          <cell r="O1753" t="str">
            <v>2026-09</v>
          </cell>
        </row>
        <row r="1754">
          <cell r="G1754">
            <v>2008798115</v>
          </cell>
          <cell r="O1754" t="str">
            <v>2026-09</v>
          </cell>
        </row>
        <row r="1755">
          <cell r="G1755">
            <v>2008798140</v>
          </cell>
          <cell r="O1755" t="str">
            <v>2026-09</v>
          </cell>
        </row>
        <row r="1756">
          <cell r="G1756">
            <v>2008798153</v>
          </cell>
          <cell r="O1756" t="str">
            <v>2026-09</v>
          </cell>
        </row>
        <row r="1757">
          <cell r="G1757">
            <v>2008798205</v>
          </cell>
          <cell r="O1757" t="str">
            <v>2026-09</v>
          </cell>
        </row>
        <row r="1758">
          <cell r="G1758">
            <v>2008798220</v>
          </cell>
          <cell r="O1758" t="str">
            <v>2026-09</v>
          </cell>
        </row>
        <row r="1759">
          <cell r="G1759">
            <v>2008798236</v>
          </cell>
          <cell r="O1759" t="str">
            <v>2026-09</v>
          </cell>
        </row>
        <row r="1760">
          <cell r="G1760">
            <v>2008798255</v>
          </cell>
          <cell r="O1760" t="str">
            <v>2026-09</v>
          </cell>
        </row>
        <row r="1761">
          <cell r="G1761">
            <v>2008798263</v>
          </cell>
          <cell r="O1761" t="str">
            <v>2026-09</v>
          </cell>
        </row>
        <row r="1762">
          <cell r="G1762">
            <v>2008847149</v>
          </cell>
          <cell r="O1762" t="str">
            <v>2026-08</v>
          </cell>
        </row>
        <row r="1763">
          <cell r="G1763">
            <v>2008857703</v>
          </cell>
          <cell r="O1763" t="str">
            <v>2026-07</v>
          </cell>
        </row>
        <row r="1764">
          <cell r="G1764">
            <v>2008927731</v>
          </cell>
          <cell r="O1764" t="str">
            <v>2026-07</v>
          </cell>
        </row>
        <row r="1765">
          <cell r="G1765">
            <v>2009004509</v>
          </cell>
          <cell r="O1765" t="str">
            <v>2026-11</v>
          </cell>
        </row>
        <row r="1766">
          <cell r="G1766">
            <v>2009004551</v>
          </cell>
          <cell r="O1766" t="str">
            <v>2026-11</v>
          </cell>
        </row>
        <row r="1767">
          <cell r="G1767">
            <v>2009004593</v>
          </cell>
          <cell r="O1767" t="str">
            <v>2026-11</v>
          </cell>
        </row>
        <row r="1768">
          <cell r="G1768">
            <v>2009004722</v>
          </cell>
          <cell r="O1768" t="str">
            <v>2026-11</v>
          </cell>
        </row>
        <row r="1769">
          <cell r="G1769">
            <v>2009005041</v>
          </cell>
          <cell r="O1769" t="str">
            <v>2026-11</v>
          </cell>
        </row>
        <row r="1770">
          <cell r="G1770">
            <v>2009005070</v>
          </cell>
          <cell r="O1770" t="str">
            <v>2026-11</v>
          </cell>
        </row>
        <row r="1771">
          <cell r="G1771">
            <v>2009005408</v>
          </cell>
          <cell r="O1771" t="str">
            <v>2026-11</v>
          </cell>
        </row>
        <row r="1772">
          <cell r="G1772">
            <v>2009009712</v>
          </cell>
          <cell r="O1772" t="str">
            <v>2026-10</v>
          </cell>
        </row>
        <row r="1773">
          <cell r="G1773">
            <v>2009009909</v>
          </cell>
          <cell r="O1773" t="str">
            <v>2026-10</v>
          </cell>
        </row>
        <row r="1774">
          <cell r="G1774">
            <v>2009010083</v>
          </cell>
          <cell r="O1774" t="str">
            <v>2026-10</v>
          </cell>
        </row>
        <row r="1775">
          <cell r="G1775">
            <v>2009010106</v>
          </cell>
          <cell r="O1775" t="str">
            <v>2026-10</v>
          </cell>
        </row>
        <row r="1776">
          <cell r="G1776">
            <v>2009010198</v>
          </cell>
          <cell r="O1776" t="str">
            <v>2026-10</v>
          </cell>
        </row>
        <row r="1777">
          <cell r="G1777">
            <v>2009010581</v>
          </cell>
          <cell r="O1777" t="str">
            <v>2026-10</v>
          </cell>
        </row>
        <row r="1778">
          <cell r="G1778">
            <v>2009010647</v>
          </cell>
          <cell r="O1778" t="str">
            <v>2026-10</v>
          </cell>
        </row>
        <row r="1779">
          <cell r="G1779">
            <v>2009017126</v>
          </cell>
          <cell r="O1779" t="str">
            <v>2026-10</v>
          </cell>
        </row>
        <row r="1780">
          <cell r="G1780">
            <v>2009017386</v>
          </cell>
          <cell r="O1780" t="str">
            <v>2026-10</v>
          </cell>
        </row>
        <row r="1781">
          <cell r="G1781">
            <v>2009017420</v>
          </cell>
          <cell r="O1781" t="str">
            <v>2026-10</v>
          </cell>
        </row>
        <row r="1782">
          <cell r="G1782">
            <v>2009017601</v>
          </cell>
          <cell r="O1782" t="str">
            <v>2026-10</v>
          </cell>
        </row>
        <row r="1783">
          <cell r="G1783">
            <v>2009017775</v>
          </cell>
          <cell r="O1783" t="str">
            <v>2026-10</v>
          </cell>
        </row>
        <row r="1784">
          <cell r="G1784">
            <v>2009202715</v>
          </cell>
          <cell r="O1784" t="str">
            <v>2026-10</v>
          </cell>
        </row>
        <row r="1785">
          <cell r="G1785">
            <v>2009228166</v>
          </cell>
          <cell r="O1785" t="str">
            <v>2026-11</v>
          </cell>
        </row>
        <row r="1786">
          <cell r="G1786">
            <v>2009241407</v>
          </cell>
          <cell r="O1786" t="str">
            <v>2026-11</v>
          </cell>
        </row>
        <row r="1787">
          <cell r="G1787">
            <v>2009261463</v>
          </cell>
          <cell r="O1787" t="str">
            <v>2026-11</v>
          </cell>
        </row>
        <row r="1788">
          <cell r="G1788">
            <v>2009287925</v>
          </cell>
          <cell r="O1788" t="str">
            <v>2026-10</v>
          </cell>
        </row>
        <row r="1789">
          <cell r="G1789">
            <v>2009403779</v>
          </cell>
          <cell r="O1789" t="str">
            <v>2026-01</v>
          </cell>
        </row>
        <row r="1790">
          <cell r="G1790">
            <v>2009403821</v>
          </cell>
          <cell r="O1790" t="str">
            <v>2026-01</v>
          </cell>
        </row>
        <row r="1791">
          <cell r="G1791">
            <v>2009404262</v>
          </cell>
          <cell r="O1791" t="str">
            <v>2026-01</v>
          </cell>
        </row>
        <row r="1792">
          <cell r="G1792">
            <v>2009404279</v>
          </cell>
          <cell r="O1792" t="str">
            <v>2026-01</v>
          </cell>
        </row>
        <row r="1793">
          <cell r="G1793">
            <v>2009404314</v>
          </cell>
          <cell r="O1793" t="str">
            <v>2026-01</v>
          </cell>
        </row>
        <row r="1794">
          <cell r="G1794">
            <v>2009404532</v>
          </cell>
          <cell r="O1794" t="str">
            <v>2026-01</v>
          </cell>
        </row>
        <row r="1795">
          <cell r="G1795">
            <v>2009404581</v>
          </cell>
          <cell r="O1795" t="str">
            <v>2026-01</v>
          </cell>
        </row>
        <row r="1796">
          <cell r="G1796">
            <v>2009404586</v>
          </cell>
          <cell r="O1796" t="str">
            <v>2026-01</v>
          </cell>
        </row>
        <row r="1797">
          <cell r="G1797">
            <v>2009465408</v>
          </cell>
          <cell r="O1797" t="str">
            <v>2026-01</v>
          </cell>
        </row>
        <row r="1798">
          <cell r="G1798">
            <v>2009465508</v>
          </cell>
          <cell r="O1798" t="str">
            <v>2026-01</v>
          </cell>
        </row>
        <row r="1799">
          <cell r="G1799">
            <v>2009470197</v>
          </cell>
          <cell r="O1799" t="str">
            <v>2026-01</v>
          </cell>
        </row>
        <row r="1800">
          <cell r="G1800">
            <v>2009470727</v>
          </cell>
          <cell r="O1800" t="str">
            <v>2026-01</v>
          </cell>
        </row>
        <row r="1801">
          <cell r="G1801">
            <v>2009478481</v>
          </cell>
          <cell r="O1801" t="str">
            <v>2026-01</v>
          </cell>
        </row>
        <row r="1802">
          <cell r="G1802">
            <v>2009481378</v>
          </cell>
          <cell r="O1802" t="str">
            <v>2026-01</v>
          </cell>
        </row>
        <row r="1803">
          <cell r="G1803">
            <v>2009494393</v>
          </cell>
          <cell r="O1803" t="str">
            <v>2026-01</v>
          </cell>
        </row>
        <row r="1804">
          <cell r="G1804">
            <v>2009495075</v>
          </cell>
          <cell r="O1804" t="str">
            <v>2026-02</v>
          </cell>
        </row>
        <row r="1805">
          <cell r="G1805">
            <v>2009495172</v>
          </cell>
          <cell r="O1805" t="str">
            <v>2026-02</v>
          </cell>
        </row>
        <row r="1806">
          <cell r="G1806">
            <v>2009495282</v>
          </cell>
          <cell r="O1806" t="str">
            <v>2026-02</v>
          </cell>
        </row>
        <row r="1807">
          <cell r="G1807">
            <v>2009495393</v>
          </cell>
          <cell r="O1807" t="str">
            <v>2026-02</v>
          </cell>
        </row>
        <row r="1808">
          <cell r="G1808">
            <v>2009499356</v>
          </cell>
          <cell r="O1808" t="str">
            <v>2026-02</v>
          </cell>
        </row>
        <row r="1809">
          <cell r="G1809">
            <v>2009501343</v>
          </cell>
          <cell r="O1809" t="str">
            <v>2026-02</v>
          </cell>
        </row>
        <row r="1810">
          <cell r="G1810">
            <v>2009501422</v>
          </cell>
          <cell r="O1810" t="str">
            <v>2026-02</v>
          </cell>
        </row>
        <row r="1811">
          <cell r="G1811">
            <v>2009501485</v>
          </cell>
          <cell r="O1811" t="str">
            <v>2026-02</v>
          </cell>
        </row>
        <row r="1812">
          <cell r="G1812">
            <v>2009501521</v>
          </cell>
          <cell r="O1812" t="str">
            <v>2026-02</v>
          </cell>
        </row>
        <row r="1813">
          <cell r="G1813">
            <v>2009501540</v>
          </cell>
          <cell r="O1813" t="str">
            <v>2026-02</v>
          </cell>
        </row>
        <row r="1814">
          <cell r="G1814">
            <v>2009501582</v>
          </cell>
          <cell r="O1814" t="str">
            <v>2026-02</v>
          </cell>
        </row>
        <row r="1815">
          <cell r="G1815">
            <v>2009501603</v>
          </cell>
          <cell r="O1815" t="str">
            <v>2026-02</v>
          </cell>
        </row>
        <row r="1816">
          <cell r="G1816">
            <v>2009534743</v>
          </cell>
          <cell r="O1816" t="str">
            <v>2026-02</v>
          </cell>
        </row>
        <row r="1817">
          <cell r="G1817">
            <v>2009556269</v>
          </cell>
          <cell r="O1817" t="str">
            <v>2026-03</v>
          </cell>
        </row>
        <row r="1818">
          <cell r="G1818">
            <v>2009556739</v>
          </cell>
          <cell r="O1818" t="str">
            <v>2026-03</v>
          </cell>
        </row>
        <row r="1819">
          <cell r="G1819">
            <v>2009562216</v>
          </cell>
          <cell r="O1819" t="str">
            <v>2026-03</v>
          </cell>
        </row>
        <row r="1820">
          <cell r="G1820">
            <v>2009562256</v>
          </cell>
          <cell r="O1820" t="str">
            <v>2026-03</v>
          </cell>
        </row>
        <row r="1821">
          <cell r="G1821">
            <v>2009562308</v>
          </cell>
          <cell r="O1821" t="str">
            <v>2026-03</v>
          </cell>
        </row>
        <row r="1822">
          <cell r="G1822">
            <v>2009562324</v>
          </cell>
          <cell r="O1822" t="str">
            <v>2026-03</v>
          </cell>
        </row>
        <row r="1823">
          <cell r="G1823">
            <v>2009566602</v>
          </cell>
          <cell r="O1823" t="str">
            <v>2026-03</v>
          </cell>
        </row>
        <row r="1824">
          <cell r="G1824">
            <v>2009566670</v>
          </cell>
          <cell r="O1824" t="str">
            <v>2026-03</v>
          </cell>
        </row>
        <row r="1825">
          <cell r="G1825">
            <v>2009572093</v>
          </cell>
          <cell r="O1825" t="str">
            <v>2025-12</v>
          </cell>
        </row>
        <row r="1826">
          <cell r="G1826">
            <v>2009638634</v>
          </cell>
          <cell r="O1826" t="str">
            <v>2026-02</v>
          </cell>
        </row>
        <row r="1827">
          <cell r="G1827">
            <v>2009697932</v>
          </cell>
          <cell r="O1827" t="str">
            <v>2026-02</v>
          </cell>
        </row>
        <row r="1828">
          <cell r="G1828">
            <v>2009718549</v>
          </cell>
          <cell r="O1828" t="str">
            <v>2026-03</v>
          </cell>
        </row>
        <row r="1829">
          <cell r="G1829">
            <v>2009731147</v>
          </cell>
          <cell r="O1829" t="str">
            <v>2026-02</v>
          </cell>
        </row>
        <row r="1830">
          <cell r="G1830">
            <v>2009749717</v>
          </cell>
          <cell r="O1830" t="str">
            <v>2026-04</v>
          </cell>
        </row>
        <row r="1831">
          <cell r="G1831">
            <v>2009749900</v>
          </cell>
          <cell r="O1831" t="str">
            <v>2026-04</v>
          </cell>
        </row>
        <row r="1832">
          <cell r="G1832">
            <v>2009750521</v>
          </cell>
          <cell r="O1832" t="str">
            <v>2026-04</v>
          </cell>
        </row>
        <row r="1833">
          <cell r="G1833">
            <v>2009750609</v>
          </cell>
          <cell r="O1833" t="str">
            <v>2026-04</v>
          </cell>
        </row>
        <row r="1834">
          <cell r="G1834">
            <v>2009750637</v>
          </cell>
          <cell r="O1834" t="str">
            <v>2026-04</v>
          </cell>
        </row>
        <row r="1835">
          <cell r="G1835">
            <v>2009751323</v>
          </cell>
          <cell r="O1835" t="str">
            <v>2026-04</v>
          </cell>
        </row>
        <row r="1836">
          <cell r="G1836">
            <v>2009751578</v>
          </cell>
          <cell r="O1836" t="str">
            <v>2026-04</v>
          </cell>
        </row>
        <row r="1837">
          <cell r="G1837">
            <v>2009751675</v>
          </cell>
          <cell r="O1837" t="str">
            <v>2026-04</v>
          </cell>
        </row>
        <row r="1838">
          <cell r="G1838">
            <v>2009751796</v>
          </cell>
          <cell r="O1838" t="str">
            <v>2026-04</v>
          </cell>
        </row>
        <row r="1839">
          <cell r="G1839">
            <v>2009751860</v>
          </cell>
          <cell r="O1839" t="str">
            <v>2026-04</v>
          </cell>
        </row>
        <row r="1840">
          <cell r="G1840">
            <v>2009751871</v>
          </cell>
          <cell r="O1840" t="str">
            <v>2026-04</v>
          </cell>
        </row>
        <row r="1841">
          <cell r="G1841">
            <v>2009797501</v>
          </cell>
          <cell r="O1841" t="str">
            <v>2026-03</v>
          </cell>
        </row>
        <row r="1842">
          <cell r="G1842">
            <v>2009797527</v>
          </cell>
          <cell r="O1842" t="str">
            <v>2026-03</v>
          </cell>
        </row>
        <row r="1843">
          <cell r="G1843">
            <v>2009797534</v>
          </cell>
          <cell r="O1843" t="str">
            <v>2026-03</v>
          </cell>
        </row>
        <row r="1844">
          <cell r="G1844">
            <v>2009813460</v>
          </cell>
          <cell r="O1844" t="str">
            <v>2026-03</v>
          </cell>
        </row>
        <row r="1845">
          <cell r="G1845">
            <v>2009823239</v>
          </cell>
          <cell r="O1845" t="str">
            <v>2026-04</v>
          </cell>
        </row>
        <row r="1846">
          <cell r="G1846">
            <v>2009823265</v>
          </cell>
          <cell r="O1846" t="str">
            <v>2026-03</v>
          </cell>
        </row>
        <row r="1847">
          <cell r="G1847">
            <v>2009823617</v>
          </cell>
          <cell r="O1847" t="str">
            <v>2026-04</v>
          </cell>
        </row>
        <row r="1848">
          <cell r="G1848">
            <v>2009823687</v>
          </cell>
          <cell r="O1848" t="str">
            <v>2026-04</v>
          </cell>
        </row>
        <row r="1849">
          <cell r="G1849">
            <v>2009823724</v>
          </cell>
          <cell r="O1849" t="str">
            <v>2026-03</v>
          </cell>
        </row>
        <row r="1850">
          <cell r="G1850">
            <v>2009823948</v>
          </cell>
          <cell r="O1850" t="str">
            <v>2026-03</v>
          </cell>
        </row>
        <row r="1851">
          <cell r="G1851">
            <v>2009843638</v>
          </cell>
          <cell r="O1851" t="str">
            <v>2026-03</v>
          </cell>
        </row>
        <row r="1852">
          <cell r="G1852">
            <v>2009844069</v>
          </cell>
          <cell r="O1852" t="str">
            <v>2026-03</v>
          </cell>
        </row>
        <row r="1853">
          <cell r="G1853">
            <v>2009844142</v>
          </cell>
          <cell r="O1853" t="str">
            <v>2026-03</v>
          </cell>
        </row>
        <row r="1854">
          <cell r="G1854">
            <v>2009844271</v>
          </cell>
          <cell r="O1854" t="str">
            <v>2026-03</v>
          </cell>
        </row>
        <row r="1855">
          <cell r="G1855">
            <v>2009848067</v>
          </cell>
          <cell r="O1855" t="str">
            <v>2026-03</v>
          </cell>
        </row>
        <row r="1856">
          <cell r="G1856">
            <v>2009848891</v>
          </cell>
          <cell r="O1856" t="str">
            <v>2026-03</v>
          </cell>
        </row>
        <row r="1857">
          <cell r="G1857">
            <v>2009848939</v>
          </cell>
          <cell r="O1857" t="str">
            <v>2026-03</v>
          </cell>
        </row>
        <row r="1858">
          <cell r="G1858">
            <v>2009849045</v>
          </cell>
          <cell r="O1858" t="str">
            <v>2026-03</v>
          </cell>
        </row>
        <row r="1859">
          <cell r="G1859">
            <v>2009849110</v>
          </cell>
          <cell r="O1859" t="str">
            <v>2026-03</v>
          </cell>
        </row>
        <row r="1860">
          <cell r="G1860">
            <v>2009849272</v>
          </cell>
          <cell r="O1860" t="str">
            <v>2026-03</v>
          </cell>
        </row>
        <row r="1861">
          <cell r="G1861">
            <v>2009849681</v>
          </cell>
          <cell r="O1861" t="str">
            <v>2026-03</v>
          </cell>
        </row>
        <row r="1862">
          <cell r="G1862">
            <v>2009849775</v>
          </cell>
          <cell r="O1862" t="str">
            <v>2026-03</v>
          </cell>
        </row>
        <row r="1863">
          <cell r="G1863">
            <v>2009849933</v>
          </cell>
          <cell r="O1863" t="str">
            <v>2026-03</v>
          </cell>
        </row>
        <row r="1864">
          <cell r="G1864">
            <v>2009849962</v>
          </cell>
          <cell r="O1864" t="str">
            <v>2026-03</v>
          </cell>
        </row>
        <row r="1865">
          <cell r="G1865">
            <v>2009849978</v>
          </cell>
          <cell r="O1865" t="str">
            <v>2026-03</v>
          </cell>
        </row>
        <row r="1866">
          <cell r="G1866">
            <v>2009850014</v>
          </cell>
          <cell r="O1866" t="str">
            <v>2026-03</v>
          </cell>
        </row>
        <row r="1867">
          <cell r="G1867">
            <v>2009850089</v>
          </cell>
          <cell r="O1867" t="str">
            <v>2026-03</v>
          </cell>
        </row>
        <row r="1868">
          <cell r="G1868">
            <v>2009850140</v>
          </cell>
          <cell r="O1868" t="str">
            <v>2026-03</v>
          </cell>
        </row>
        <row r="1869">
          <cell r="G1869">
            <v>2009850191</v>
          </cell>
          <cell r="O1869" t="str">
            <v>2026-03</v>
          </cell>
        </row>
        <row r="1870">
          <cell r="G1870">
            <v>2009850233</v>
          </cell>
          <cell r="O1870" t="str">
            <v>2026-03</v>
          </cell>
        </row>
        <row r="1871">
          <cell r="G1871">
            <v>2009850268</v>
          </cell>
          <cell r="O1871" t="str">
            <v>2026-03</v>
          </cell>
        </row>
        <row r="1872">
          <cell r="G1872">
            <v>2009850286</v>
          </cell>
          <cell r="O1872" t="str">
            <v>2026-03</v>
          </cell>
        </row>
        <row r="1873">
          <cell r="G1873">
            <v>2009850297</v>
          </cell>
          <cell r="O1873" t="str">
            <v>2026-03</v>
          </cell>
        </row>
        <row r="1874">
          <cell r="G1874">
            <v>2009850323</v>
          </cell>
          <cell r="O1874" t="str">
            <v>2026-03</v>
          </cell>
        </row>
        <row r="1875">
          <cell r="G1875">
            <v>2009877012</v>
          </cell>
          <cell r="O1875" t="str">
            <v>2026-04</v>
          </cell>
        </row>
        <row r="1876">
          <cell r="G1876">
            <v>2009877243</v>
          </cell>
          <cell r="O1876" t="str">
            <v>2026-04</v>
          </cell>
        </row>
        <row r="1877">
          <cell r="G1877">
            <v>2009890565</v>
          </cell>
          <cell r="O1877" t="str">
            <v>2026-05</v>
          </cell>
        </row>
        <row r="1878">
          <cell r="G1878">
            <v>2009890639</v>
          </cell>
          <cell r="O1878" t="str">
            <v>2026-05</v>
          </cell>
        </row>
        <row r="1879">
          <cell r="G1879">
            <v>2009890855</v>
          </cell>
          <cell r="O1879" t="str">
            <v>2026-05</v>
          </cell>
        </row>
        <row r="1880">
          <cell r="G1880">
            <v>2009901443</v>
          </cell>
          <cell r="O1880" t="str">
            <v>2026-05</v>
          </cell>
        </row>
        <row r="1881">
          <cell r="G1881">
            <v>2009902124</v>
          </cell>
          <cell r="O1881" t="str">
            <v>2026-05</v>
          </cell>
        </row>
        <row r="1882">
          <cell r="G1882">
            <v>2009902137</v>
          </cell>
          <cell r="O1882" t="str">
            <v>2026-05</v>
          </cell>
        </row>
        <row r="1883">
          <cell r="G1883">
            <v>2009902442</v>
          </cell>
          <cell r="O1883" t="str">
            <v>2026-05</v>
          </cell>
        </row>
        <row r="1884">
          <cell r="G1884">
            <v>2009902449</v>
          </cell>
          <cell r="O1884" t="str">
            <v>2026-05</v>
          </cell>
        </row>
        <row r="1885">
          <cell r="G1885">
            <v>2009915085</v>
          </cell>
          <cell r="O1885" t="str">
            <v>2026-02</v>
          </cell>
        </row>
        <row r="1886">
          <cell r="G1886">
            <v>2009939734</v>
          </cell>
          <cell r="O1886" t="str">
            <v>2026-04</v>
          </cell>
        </row>
        <row r="1887">
          <cell r="G1887">
            <v>2009939803</v>
          </cell>
          <cell r="O1887" t="str">
            <v>2026-11</v>
          </cell>
        </row>
        <row r="1888">
          <cell r="G1888">
            <v>2009961447</v>
          </cell>
          <cell r="O1888" t="str">
            <v>2026-05</v>
          </cell>
        </row>
        <row r="1889">
          <cell r="G1889">
            <v>2009973060</v>
          </cell>
          <cell r="O1889" t="str">
            <v>2026-04</v>
          </cell>
        </row>
        <row r="1890">
          <cell r="G1890">
            <v>2010020725</v>
          </cell>
          <cell r="O1890" t="str">
            <v>2026-05</v>
          </cell>
        </row>
        <row r="1891">
          <cell r="G1891">
            <v>2010023879</v>
          </cell>
          <cell r="O1891" t="str">
            <v>2026-05</v>
          </cell>
        </row>
        <row r="1892">
          <cell r="G1892">
            <v>2010029445</v>
          </cell>
          <cell r="O1892" t="str">
            <v>2026-06</v>
          </cell>
        </row>
        <row r="1893">
          <cell r="G1893">
            <v>2010034628</v>
          </cell>
          <cell r="O1893" t="str">
            <v>2026-06</v>
          </cell>
        </row>
        <row r="1894">
          <cell r="G1894">
            <v>2010055498</v>
          </cell>
          <cell r="O1894" t="str">
            <v>2026-05</v>
          </cell>
        </row>
        <row r="1895">
          <cell r="G1895">
            <v>2010071059</v>
          </cell>
          <cell r="O1895" t="str">
            <v>2026-06</v>
          </cell>
        </row>
        <row r="1896">
          <cell r="G1896">
            <v>2010090787</v>
          </cell>
          <cell r="O1896" t="str">
            <v>2026-05</v>
          </cell>
        </row>
        <row r="1897">
          <cell r="G1897">
            <v>2010122303</v>
          </cell>
          <cell r="O1897" t="str">
            <v>2026-06</v>
          </cell>
        </row>
        <row r="1898">
          <cell r="G1898">
            <v>2010160050</v>
          </cell>
          <cell r="O1898" t="str">
            <v>2026-06</v>
          </cell>
        </row>
        <row r="1899">
          <cell r="G1899">
            <v>2010209763</v>
          </cell>
          <cell r="O1899" t="str">
            <v>2026-06</v>
          </cell>
        </row>
        <row r="1900">
          <cell r="G1900">
            <v>2010225436</v>
          </cell>
          <cell r="O1900" t="str">
            <v>2026-07</v>
          </cell>
        </row>
        <row r="1901">
          <cell r="G1901">
            <v>2010226311</v>
          </cell>
          <cell r="O1901" t="str">
            <v>2026-07</v>
          </cell>
        </row>
        <row r="1902">
          <cell r="G1902">
            <v>2010226685</v>
          </cell>
          <cell r="O1902" t="str">
            <v>2026-08</v>
          </cell>
        </row>
        <row r="1903">
          <cell r="G1903">
            <v>2010266472</v>
          </cell>
          <cell r="O1903" t="str">
            <v>2026-09</v>
          </cell>
        </row>
        <row r="1904">
          <cell r="G1904">
            <v>2010337424</v>
          </cell>
          <cell r="O1904" t="str">
            <v>2026-08</v>
          </cell>
        </row>
        <row r="1905">
          <cell r="G1905">
            <v>2010445968</v>
          </cell>
          <cell r="O1905" t="str">
            <v>2026-08</v>
          </cell>
        </row>
        <row r="1906">
          <cell r="G1906">
            <v>2010484562</v>
          </cell>
          <cell r="O1906" t="str">
            <v>2026-08</v>
          </cell>
        </row>
        <row r="1907">
          <cell r="G1907">
            <v>2010511434</v>
          </cell>
          <cell r="O1907" t="str">
            <v>2026-08</v>
          </cell>
        </row>
        <row r="1908">
          <cell r="G1908">
            <v>2010521284</v>
          </cell>
          <cell r="O1908" t="str">
            <v>2026-09</v>
          </cell>
        </row>
        <row r="1909">
          <cell r="G1909">
            <v>2010547483</v>
          </cell>
          <cell r="O1909" t="str">
            <v>2026-09</v>
          </cell>
        </row>
        <row r="1910">
          <cell r="G1910">
            <v>2010570378</v>
          </cell>
          <cell r="O1910" t="str">
            <v>2026-09</v>
          </cell>
        </row>
        <row r="1911">
          <cell r="G1911">
            <v>2010667494</v>
          </cell>
          <cell r="O1911" t="str">
            <v>2026-09</v>
          </cell>
        </row>
        <row r="1912">
          <cell r="G1912">
            <v>2010709643</v>
          </cell>
          <cell r="O1912" t="str">
            <v>2026-10</v>
          </cell>
        </row>
        <row r="1913">
          <cell r="G1913">
            <v>2010717025</v>
          </cell>
          <cell r="O1913" t="str">
            <v>2026-10</v>
          </cell>
        </row>
        <row r="1914">
          <cell r="G1914">
            <v>2010717280</v>
          </cell>
          <cell r="O1914" t="str">
            <v>2025-12</v>
          </cell>
        </row>
        <row r="1915">
          <cell r="G1915">
            <v>2010718126</v>
          </cell>
          <cell r="O1915" t="str">
            <v>2026-10</v>
          </cell>
        </row>
        <row r="1916">
          <cell r="G1916">
            <v>2010718359</v>
          </cell>
          <cell r="O1916" t="str">
            <v>2026-10</v>
          </cell>
        </row>
        <row r="1917">
          <cell r="G1917">
            <v>2010718475</v>
          </cell>
          <cell r="O1917" t="str">
            <v>2026-10</v>
          </cell>
        </row>
        <row r="1918">
          <cell r="G1918">
            <v>2010732319</v>
          </cell>
          <cell r="O1918" t="str">
            <v>2026-10</v>
          </cell>
        </row>
        <row r="1919">
          <cell r="G1919">
            <v>2010732546</v>
          </cell>
          <cell r="O1919" t="str">
            <v>2026-10</v>
          </cell>
        </row>
        <row r="1920">
          <cell r="G1920">
            <v>2010733452</v>
          </cell>
          <cell r="O1920" t="str">
            <v>2026-10</v>
          </cell>
        </row>
        <row r="1921">
          <cell r="G1921">
            <v>2010733668</v>
          </cell>
          <cell r="O1921" t="str">
            <v>2026-10</v>
          </cell>
        </row>
        <row r="1922">
          <cell r="G1922">
            <v>2010733777</v>
          </cell>
          <cell r="O1922" t="str">
            <v>2026-10</v>
          </cell>
        </row>
        <row r="1923">
          <cell r="G1923">
            <v>2010733911</v>
          </cell>
          <cell r="O1923" t="str">
            <v>2026-10</v>
          </cell>
        </row>
        <row r="1924">
          <cell r="G1924">
            <v>2010733984</v>
          </cell>
          <cell r="O1924" t="str">
            <v>2026-10</v>
          </cell>
        </row>
        <row r="1925">
          <cell r="G1925">
            <v>2010734047</v>
          </cell>
          <cell r="O1925" t="str">
            <v>2026-10</v>
          </cell>
        </row>
        <row r="1926">
          <cell r="G1926">
            <v>2010734266</v>
          </cell>
          <cell r="O1926" t="str">
            <v>2026-10</v>
          </cell>
        </row>
        <row r="1927">
          <cell r="G1927">
            <v>2010734332</v>
          </cell>
          <cell r="O1927" t="str">
            <v>2026-10</v>
          </cell>
        </row>
        <row r="1928">
          <cell r="G1928">
            <v>2010746549</v>
          </cell>
          <cell r="O1928" t="str">
            <v>2026-10</v>
          </cell>
        </row>
        <row r="1929">
          <cell r="G1929">
            <v>2010747433</v>
          </cell>
          <cell r="O1929" t="str">
            <v>2025-11</v>
          </cell>
        </row>
        <row r="1930">
          <cell r="G1930">
            <v>2010766395</v>
          </cell>
          <cell r="O1930" t="str">
            <v>2026-10</v>
          </cell>
        </row>
        <row r="1931">
          <cell r="G1931">
            <v>2010766457</v>
          </cell>
          <cell r="O1931" t="str">
            <v>2026-10</v>
          </cell>
        </row>
        <row r="1932">
          <cell r="G1932">
            <v>2010766650</v>
          </cell>
          <cell r="O1932" t="str">
            <v>2026-10</v>
          </cell>
        </row>
        <row r="1933">
          <cell r="G1933">
            <v>2010767165</v>
          </cell>
          <cell r="O1933" t="str">
            <v>2026-10</v>
          </cell>
        </row>
        <row r="1934">
          <cell r="G1934">
            <v>2010767179</v>
          </cell>
          <cell r="O1934" t="str">
            <v>2026-10</v>
          </cell>
        </row>
        <row r="1935">
          <cell r="G1935">
            <v>2010767211</v>
          </cell>
          <cell r="O1935" t="str">
            <v>2026-10</v>
          </cell>
        </row>
        <row r="1936">
          <cell r="G1936">
            <v>2010767816</v>
          </cell>
          <cell r="O1936" t="str">
            <v>2026-10</v>
          </cell>
        </row>
        <row r="1937">
          <cell r="G1937">
            <v>2010767874</v>
          </cell>
          <cell r="O1937" t="str">
            <v>2026-10</v>
          </cell>
        </row>
        <row r="1938">
          <cell r="G1938">
            <v>2010767971</v>
          </cell>
          <cell r="O1938" t="str">
            <v>2026-10</v>
          </cell>
        </row>
        <row r="1939">
          <cell r="G1939">
            <v>2010767996</v>
          </cell>
          <cell r="O1939" t="str">
            <v>2026-10</v>
          </cell>
        </row>
        <row r="1940">
          <cell r="G1940">
            <v>2010768045</v>
          </cell>
          <cell r="O1940" t="str">
            <v>2026-10</v>
          </cell>
        </row>
        <row r="1941">
          <cell r="G1941">
            <v>2010768063</v>
          </cell>
          <cell r="O1941" t="str">
            <v>2026-10</v>
          </cell>
        </row>
        <row r="1942">
          <cell r="G1942">
            <v>2010774117</v>
          </cell>
          <cell r="O1942" t="str">
            <v>2026-10</v>
          </cell>
        </row>
        <row r="1943">
          <cell r="G1943">
            <v>2010774124</v>
          </cell>
          <cell r="O1943" t="str">
            <v>2026-10</v>
          </cell>
        </row>
        <row r="1944">
          <cell r="G1944">
            <v>2010774139</v>
          </cell>
          <cell r="O1944" t="str">
            <v>2026-10</v>
          </cell>
        </row>
        <row r="1945">
          <cell r="G1945">
            <v>2010774192</v>
          </cell>
          <cell r="O1945" t="str">
            <v>2026-10</v>
          </cell>
        </row>
        <row r="1946">
          <cell r="G1946">
            <v>2010774211</v>
          </cell>
          <cell r="O1946" t="str">
            <v>2026-10</v>
          </cell>
        </row>
        <row r="1947">
          <cell r="G1947">
            <v>2010774270</v>
          </cell>
          <cell r="O1947" t="str">
            <v>2026-10</v>
          </cell>
        </row>
        <row r="1948">
          <cell r="G1948">
            <v>2010774317</v>
          </cell>
          <cell r="O1948" t="str">
            <v>2026-10</v>
          </cell>
        </row>
        <row r="1949">
          <cell r="G1949">
            <v>2010774397</v>
          </cell>
          <cell r="O1949" t="str">
            <v>2026-10</v>
          </cell>
        </row>
        <row r="1950">
          <cell r="G1950">
            <v>2010774419</v>
          </cell>
          <cell r="O1950" t="str">
            <v>2026-10</v>
          </cell>
        </row>
        <row r="1951">
          <cell r="G1951">
            <v>2010802784</v>
          </cell>
          <cell r="O1951" t="str">
            <v>2026-10</v>
          </cell>
        </row>
        <row r="1952">
          <cell r="G1952">
            <v>2010814425</v>
          </cell>
          <cell r="O1952" t="str">
            <v>2026-10</v>
          </cell>
        </row>
        <row r="1953">
          <cell r="G1953">
            <v>2010836999</v>
          </cell>
          <cell r="O1953" t="str">
            <v>2026-11</v>
          </cell>
        </row>
        <row r="1954">
          <cell r="G1954">
            <v>2010853241</v>
          </cell>
          <cell r="O1954" t="str">
            <v>2026-11</v>
          </cell>
        </row>
        <row r="1955">
          <cell r="G1955">
            <v>2010903415</v>
          </cell>
          <cell r="O1955" t="str">
            <v>2026-11</v>
          </cell>
        </row>
        <row r="1956">
          <cell r="G1956">
            <v>2010917247</v>
          </cell>
          <cell r="O1956" t="str">
            <v>2025-12</v>
          </cell>
        </row>
        <row r="1957">
          <cell r="G1957">
            <v>2010970094</v>
          </cell>
          <cell r="O1957" t="str">
            <v>2025-12</v>
          </cell>
        </row>
        <row r="1958">
          <cell r="G1958">
            <v>2011026552</v>
          </cell>
          <cell r="O1958" t="str">
            <v>2025-12</v>
          </cell>
        </row>
        <row r="1959">
          <cell r="G1959">
            <v>2011037014</v>
          </cell>
          <cell r="O1959" t="str">
            <v>2026-10</v>
          </cell>
        </row>
        <row r="1960">
          <cell r="G1960">
            <v>2011037676</v>
          </cell>
          <cell r="O1960" t="str">
            <v>2025-12</v>
          </cell>
        </row>
        <row r="1961">
          <cell r="G1961">
            <v>2011074691</v>
          </cell>
          <cell r="O1961" t="str">
            <v>2026-10</v>
          </cell>
        </row>
        <row r="1962">
          <cell r="G1962">
            <v>2011102128</v>
          </cell>
          <cell r="O1962" t="str">
            <v>2026-02</v>
          </cell>
        </row>
        <row r="1963">
          <cell r="G1963">
            <v>2011104245</v>
          </cell>
          <cell r="O1963" t="str">
            <v>2026-01</v>
          </cell>
        </row>
        <row r="1964">
          <cell r="G1964">
            <v>2011139493</v>
          </cell>
          <cell r="O1964" t="str">
            <v>2026-01</v>
          </cell>
        </row>
        <row r="1965">
          <cell r="G1965">
            <v>2011148648</v>
          </cell>
          <cell r="O1965" t="str">
            <v>2026-01</v>
          </cell>
        </row>
        <row r="1966">
          <cell r="G1966">
            <v>2011172314</v>
          </cell>
          <cell r="O1966" t="str">
            <v>2026-01</v>
          </cell>
        </row>
        <row r="1967">
          <cell r="G1967">
            <v>2011280508</v>
          </cell>
          <cell r="O1967" t="str">
            <v>2026-02</v>
          </cell>
        </row>
        <row r="1968">
          <cell r="G1968">
            <v>2011321605</v>
          </cell>
          <cell r="O1968" t="str">
            <v>2026-03</v>
          </cell>
        </row>
        <row r="1969">
          <cell r="G1969">
            <v>2011326535</v>
          </cell>
          <cell r="O1969" t="str">
            <v>2026-02</v>
          </cell>
        </row>
        <row r="1970">
          <cell r="G1970">
            <v>2011327243</v>
          </cell>
          <cell r="O1970" t="str">
            <v>2026-02</v>
          </cell>
        </row>
        <row r="1971">
          <cell r="G1971">
            <v>2011347911</v>
          </cell>
          <cell r="O1971" t="str">
            <v>2026-02</v>
          </cell>
        </row>
        <row r="1972">
          <cell r="G1972">
            <v>2011359328</v>
          </cell>
          <cell r="O1972" t="str">
            <v>2026-03</v>
          </cell>
        </row>
        <row r="1973">
          <cell r="G1973">
            <v>2011359678</v>
          </cell>
          <cell r="O1973" t="str">
            <v>2026-03</v>
          </cell>
        </row>
        <row r="1974">
          <cell r="G1974">
            <v>2011368079</v>
          </cell>
          <cell r="O1974" t="str">
            <v>2026-03</v>
          </cell>
        </row>
        <row r="1975">
          <cell r="G1975">
            <v>2011379888</v>
          </cell>
          <cell r="O1975" t="str">
            <v>2026-02</v>
          </cell>
        </row>
        <row r="1976">
          <cell r="G1976">
            <v>2011420462</v>
          </cell>
          <cell r="O1976" t="str">
            <v>2026-01</v>
          </cell>
        </row>
        <row r="1977">
          <cell r="G1977">
            <v>2011426705</v>
          </cell>
          <cell r="O1977" t="str">
            <v>2026-04</v>
          </cell>
        </row>
        <row r="1978">
          <cell r="G1978">
            <v>2011439997</v>
          </cell>
          <cell r="O1978" t="str">
            <v>2026-03</v>
          </cell>
        </row>
        <row r="1979">
          <cell r="G1979">
            <v>2011456123</v>
          </cell>
          <cell r="O1979" t="str">
            <v>2026-04</v>
          </cell>
        </row>
        <row r="1980">
          <cell r="G1980">
            <v>2011475018</v>
          </cell>
          <cell r="O1980" t="str">
            <v>2026-03</v>
          </cell>
        </row>
        <row r="1981">
          <cell r="G1981">
            <v>2011502221</v>
          </cell>
          <cell r="O1981" t="str">
            <v>2026-04</v>
          </cell>
        </row>
        <row r="1982">
          <cell r="G1982">
            <v>2011508592</v>
          </cell>
          <cell r="O1982" t="str">
            <v>2026-03</v>
          </cell>
        </row>
        <row r="1983">
          <cell r="G1983">
            <v>2011515034</v>
          </cell>
          <cell r="O1983" t="str">
            <v>2026-04</v>
          </cell>
        </row>
        <row r="1984">
          <cell r="G1984">
            <v>2011515257</v>
          </cell>
          <cell r="O1984" t="str">
            <v>2026-04</v>
          </cell>
        </row>
        <row r="1985">
          <cell r="G1985">
            <v>2011515316</v>
          </cell>
          <cell r="O1985" t="str">
            <v>2026-04</v>
          </cell>
        </row>
        <row r="1986">
          <cell r="G1986">
            <v>2011515551</v>
          </cell>
          <cell r="O1986" t="str">
            <v>2026-05</v>
          </cell>
        </row>
        <row r="1987">
          <cell r="G1987">
            <v>2011589550</v>
          </cell>
          <cell r="O1987" t="str">
            <v>2026-05</v>
          </cell>
        </row>
        <row r="1988">
          <cell r="G1988">
            <v>2011614455</v>
          </cell>
          <cell r="O1988" t="str">
            <v>2026-05</v>
          </cell>
        </row>
        <row r="1989">
          <cell r="G1989">
            <v>2011631016</v>
          </cell>
          <cell r="O1989" t="str">
            <v>2026-05</v>
          </cell>
        </row>
        <row r="1990">
          <cell r="G1990">
            <v>2011662959</v>
          </cell>
          <cell r="O1990" t="str">
            <v>2026-05</v>
          </cell>
        </row>
        <row r="1991">
          <cell r="G1991">
            <v>2011667335</v>
          </cell>
          <cell r="O1991" t="str">
            <v>2026-05</v>
          </cell>
        </row>
        <row r="1992">
          <cell r="G1992">
            <v>2011674751</v>
          </cell>
          <cell r="O1992" t="str">
            <v>2026-05</v>
          </cell>
        </row>
        <row r="1993">
          <cell r="G1993">
            <v>2011700747</v>
          </cell>
          <cell r="O1993" t="str">
            <v>2026-10</v>
          </cell>
        </row>
        <row r="1994">
          <cell r="G1994">
            <v>2011700930</v>
          </cell>
          <cell r="O1994" t="str">
            <v>2025-12</v>
          </cell>
        </row>
        <row r="1995">
          <cell r="G1995">
            <v>2011711426</v>
          </cell>
          <cell r="O1995" t="str">
            <v>2026-06</v>
          </cell>
        </row>
        <row r="1996">
          <cell r="G1996">
            <v>2011712648</v>
          </cell>
          <cell r="O1996" t="str">
            <v>2026-06</v>
          </cell>
        </row>
        <row r="1997">
          <cell r="G1997">
            <v>2011830883</v>
          </cell>
          <cell r="O1997" t="str">
            <v>2026-08</v>
          </cell>
        </row>
        <row r="1998">
          <cell r="G1998">
            <v>2011904568</v>
          </cell>
          <cell r="O1998" t="str">
            <v>2026-07</v>
          </cell>
        </row>
        <row r="1999">
          <cell r="G1999">
            <v>2011906186</v>
          </cell>
          <cell r="O1999" t="str">
            <v>2026-07</v>
          </cell>
        </row>
        <row r="2000">
          <cell r="G2000">
            <v>2011916350</v>
          </cell>
          <cell r="O2000" t="str">
            <v>2026-07</v>
          </cell>
        </row>
        <row r="2001">
          <cell r="G2001">
            <v>2011920896</v>
          </cell>
          <cell r="O2001" t="str">
            <v>2026-07</v>
          </cell>
        </row>
        <row r="2002">
          <cell r="G2002">
            <v>2011928434</v>
          </cell>
          <cell r="O2002" t="str">
            <v>2026-07</v>
          </cell>
        </row>
        <row r="2003">
          <cell r="G2003">
            <v>2011928913</v>
          </cell>
          <cell r="O2003" t="str">
            <v>2026-07</v>
          </cell>
        </row>
        <row r="2004">
          <cell r="G2004">
            <v>2011929056</v>
          </cell>
          <cell r="O2004" t="str">
            <v>2026-07</v>
          </cell>
        </row>
        <row r="2005">
          <cell r="G2005">
            <v>2011932128</v>
          </cell>
          <cell r="O2005" t="str">
            <v>2026-08</v>
          </cell>
        </row>
        <row r="2006">
          <cell r="G2006">
            <v>2011935851</v>
          </cell>
          <cell r="O2006" t="str">
            <v>2026-08</v>
          </cell>
        </row>
        <row r="2007">
          <cell r="G2007">
            <v>2011939160</v>
          </cell>
          <cell r="O2007" t="str">
            <v>2026-08</v>
          </cell>
        </row>
        <row r="2008">
          <cell r="G2008">
            <v>2011952535</v>
          </cell>
          <cell r="O2008" t="str">
            <v>2026-08</v>
          </cell>
        </row>
        <row r="2009">
          <cell r="G2009">
            <v>2011964814</v>
          </cell>
          <cell r="O2009" t="str">
            <v>2026-08</v>
          </cell>
        </row>
        <row r="2010">
          <cell r="G2010">
            <v>2011983817</v>
          </cell>
          <cell r="O2010" t="str">
            <v>2026-09</v>
          </cell>
        </row>
        <row r="2011">
          <cell r="G2011">
            <v>2012023530</v>
          </cell>
          <cell r="O2011" t="str">
            <v>2026-09</v>
          </cell>
        </row>
        <row r="2012">
          <cell r="G2012">
            <v>2012042270</v>
          </cell>
          <cell r="O2012" t="str">
            <v>2026-10</v>
          </cell>
        </row>
        <row r="2013">
          <cell r="G2013">
            <v>2012052933</v>
          </cell>
          <cell r="O2013" t="str">
            <v>2026-09</v>
          </cell>
        </row>
        <row r="2014">
          <cell r="G2014">
            <v>2012054935</v>
          </cell>
          <cell r="O2014" t="str">
            <v>2026-10</v>
          </cell>
        </row>
        <row r="2015">
          <cell r="G2015">
            <v>2012071191</v>
          </cell>
          <cell r="O2015" t="str">
            <v>2026-10</v>
          </cell>
        </row>
        <row r="2016">
          <cell r="G2016">
            <v>15410441</v>
          </cell>
          <cell r="O2016" t="str">
            <v>2026-05</v>
          </cell>
        </row>
        <row r="2017">
          <cell r="G2017">
            <v>15410441</v>
          </cell>
          <cell r="O2017" t="str">
            <v>2026-01</v>
          </cell>
        </row>
        <row r="2018">
          <cell r="G2018">
            <v>15410441</v>
          </cell>
          <cell r="O2018" t="str">
            <v>2026-05</v>
          </cell>
        </row>
        <row r="2019">
          <cell r="G2019">
            <v>15410441</v>
          </cell>
          <cell r="O2019" t="str">
            <v>2026-01</v>
          </cell>
        </row>
        <row r="2020">
          <cell r="G2020">
            <v>15410441</v>
          </cell>
          <cell r="O2020" t="str">
            <v>2026-05</v>
          </cell>
        </row>
        <row r="2021">
          <cell r="G2021">
            <v>2008798022</v>
          </cell>
          <cell r="O2021" t="str">
            <v>2026-09</v>
          </cell>
        </row>
        <row r="2022">
          <cell r="G2022">
            <v>2008848013</v>
          </cell>
          <cell r="O2022" t="str">
            <v>2026-07</v>
          </cell>
        </row>
        <row r="2023">
          <cell r="G2023">
            <v>2009005158</v>
          </cell>
          <cell r="O2023" t="str">
            <v>2026-11</v>
          </cell>
        </row>
        <row r="2024">
          <cell r="G2024">
            <v>2009005158</v>
          </cell>
          <cell r="O2024" t="str">
            <v>2025-11</v>
          </cell>
        </row>
        <row r="2025">
          <cell r="G2025">
            <v>2009005158</v>
          </cell>
          <cell r="O2025" t="str">
            <v>2025-11</v>
          </cell>
        </row>
        <row r="2026">
          <cell r="G2026">
            <v>2011657197</v>
          </cell>
          <cell r="O2026" t="str">
            <v>2026-05</v>
          </cell>
        </row>
        <row r="2027">
          <cell r="G2027">
            <v>2011657197</v>
          </cell>
          <cell r="O2027" t="str">
            <v>2026-05</v>
          </cell>
        </row>
        <row r="2028">
          <cell r="G2028">
            <v>2011657197</v>
          </cell>
          <cell r="O2028" t="str">
            <v>2026-05</v>
          </cell>
        </row>
        <row r="2029">
          <cell r="G2029">
            <v>2011657197</v>
          </cell>
          <cell r="O2029" t="str">
            <v>2026-05</v>
          </cell>
        </row>
        <row r="2030">
          <cell r="G2030">
            <v>2011657197</v>
          </cell>
          <cell r="O2030" t="str">
            <v>2026-05</v>
          </cell>
        </row>
        <row r="2031">
          <cell r="G2031">
            <v>2011657197</v>
          </cell>
          <cell r="O2031" t="str">
            <v>2026-05</v>
          </cell>
        </row>
        <row r="2032">
          <cell r="G2032">
            <v>2011657197</v>
          </cell>
          <cell r="O2032" t="str">
            <v>2026-05</v>
          </cell>
        </row>
        <row r="2033">
          <cell r="G2033">
            <v>2011657197</v>
          </cell>
          <cell r="O2033" t="str">
            <v>2026-05</v>
          </cell>
        </row>
        <row r="2034">
          <cell r="G2034" t="str">
            <v>7789PC</v>
          </cell>
          <cell r="O2034" t="str">
            <v>2026-02</v>
          </cell>
        </row>
        <row r="2035">
          <cell r="G2035" t="str">
            <v>AHE665</v>
          </cell>
          <cell r="O2035" t="str">
            <v>2026-07</v>
          </cell>
        </row>
        <row r="2036">
          <cell r="G2036" t="str">
            <v>ANI454</v>
          </cell>
          <cell r="O2036" t="str">
            <v>2026-02</v>
          </cell>
        </row>
        <row r="2037">
          <cell r="G2037" t="str">
            <v>AZQ825</v>
          </cell>
          <cell r="O2037" t="str">
            <v>2026-02</v>
          </cell>
        </row>
        <row r="2038">
          <cell r="G2038" t="str">
            <v>BAA403</v>
          </cell>
          <cell r="O2038" t="str">
            <v>2025-12</v>
          </cell>
        </row>
        <row r="2039">
          <cell r="G2039" t="str">
            <v>BRF211</v>
          </cell>
          <cell r="O2039" t="str">
            <v>2025-12</v>
          </cell>
        </row>
        <row r="2040">
          <cell r="G2040" t="str">
            <v>CEU012</v>
          </cell>
          <cell r="O2040" t="str">
            <v>2026-04</v>
          </cell>
        </row>
        <row r="2041">
          <cell r="G2041" t="str">
            <v>CKE432</v>
          </cell>
          <cell r="O2041" t="str">
            <v>2026-01</v>
          </cell>
        </row>
        <row r="2042">
          <cell r="G2042" t="str">
            <v>F3E033</v>
          </cell>
          <cell r="O2042" t="str">
            <v>2026-03</v>
          </cell>
        </row>
        <row r="2043">
          <cell r="G2043" t="str">
            <v>P1V523</v>
          </cell>
          <cell r="O2043" t="str">
            <v>2026-02</v>
          </cell>
        </row>
        <row r="2044">
          <cell r="G2044" t="str">
            <v>RQH135</v>
          </cell>
          <cell r="O2044" t="str">
            <v>2026-01</v>
          </cell>
        </row>
        <row r="2045">
          <cell r="G2045" t="str">
            <v>RTASI300</v>
          </cell>
          <cell r="O2045" t="str">
            <v>2026-06</v>
          </cell>
        </row>
        <row r="2046">
          <cell r="G2046" t="str">
            <v>RTBAA403</v>
          </cell>
          <cell r="O2046" t="str">
            <v>2026-05</v>
          </cell>
        </row>
        <row r="2047">
          <cell r="G2047" t="str">
            <v>RTBCC360</v>
          </cell>
          <cell r="O2047" t="str">
            <v>2026-03</v>
          </cell>
        </row>
        <row r="2048">
          <cell r="G2048" t="str">
            <v>RTCHL045</v>
          </cell>
          <cell r="O2048" t="str">
            <v>2025-12</v>
          </cell>
        </row>
        <row r="2049">
          <cell r="G2049" t="str">
            <v>RTP1Y834</v>
          </cell>
          <cell r="O2049" t="str">
            <v>2026-01</v>
          </cell>
        </row>
        <row r="2050">
          <cell r="G2050" t="str">
            <v>RTP2J957</v>
          </cell>
          <cell r="O2050" t="str">
            <v>2026-01</v>
          </cell>
        </row>
        <row r="2051">
          <cell r="G2051" t="str">
            <v>RTP3H834</v>
          </cell>
          <cell r="O2051" t="str">
            <v>2025-12</v>
          </cell>
        </row>
        <row r="2052">
          <cell r="G2052" t="str">
            <v>RTP3I729</v>
          </cell>
          <cell r="O2052" t="str">
            <v>2026-06</v>
          </cell>
        </row>
        <row r="2053">
          <cell r="G2053" t="str">
            <v>RTP3Y787</v>
          </cell>
          <cell r="O2053" t="str">
            <v>2026-03</v>
          </cell>
        </row>
        <row r="2054">
          <cell r="G2054" t="str">
            <v>RTT6V808</v>
          </cell>
          <cell r="O2054" t="str">
            <v>2025-12</v>
          </cell>
        </row>
        <row r="2055">
          <cell r="G2055" t="str">
            <v>BONO_POSITIVA_S_ME</v>
          </cell>
          <cell r="O2055" t="str">
            <v>2025-01</v>
          </cell>
        </row>
        <row r="2056">
          <cell r="G2056" t="str">
            <v>BONO_POSITIVA_S_MN</v>
          </cell>
          <cell r="O2056" t="str">
            <v>2025-01</v>
          </cell>
        </row>
        <row r="2057">
          <cell r="G2057">
            <v>220010655</v>
          </cell>
          <cell r="O2057" t="str">
            <v>2026-03</v>
          </cell>
        </row>
        <row r="2058">
          <cell r="G2058">
            <v>220016212</v>
          </cell>
          <cell r="O2058" t="str">
            <v>2026-09</v>
          </cell>
        </row>
        <row r="2059">
          <cell r="G2059">
            <v>220022012</v>
          </cell>
          <cell r="O2059" t="str">
            <v>2026-06</v>
          </cell>
        </row>
        <row r="2060">
          <cell r="G2060">
            <v>220023340</v>
          </cell>
          <cell r="O2060" t="str">
            <v>2025-12</v>
          </cell>
        </row>
        <row r="2061">
          <cell r="G2061">
            <v>220024453</v>
          </cell>
          <cell r="O2061" t="str">
            <v>2026-07</v>
          </cell>
        </row>
        <row r="2062">
          <cell r="G2062">
            <v>220025276</v>
          </cell>
          <cell r="O2062" t="str">
            <v>2025-12</v>
          </cell>
        </row>
        <row r="2063">
          <cell r="G2063">
            <v>220027164</v>
          </cell>
          <cell r="O2063" t="str">
            <v>2026-03</v>
          </cell>
        </row>
        <row r="2064">
          <cell r="G2064">
            <v>220027388</v>
          </cell>
          <cell r="O2064" t="str">
            <v>2026-04</v>
          </cell>
        </row>
        <row r="2065">
          <cell r="G2065">
            <v>220027715</v>
          </cell>
          <cell r="O2065" t="str">
            <v>2026-07</v>
          </cell>
        </row>
        <row r="2066">
          <cell r="G2066">
            <v>220027973</v>
          </cell>
          <cell r="O2066" t="str">
            <v>2026-09</v>
          </cell>
        </row>
        <row r="2067">
          <cell r="G2067">
            <v>230204842</v>
          </cell>
          <cell r="O2067" t="str">
            <v>2026-10</v>
          </cell>
        </row>
        <row r="2068">
          <cell r="G2068">
            <v>230272251</v>
          </cell>
          <cell r="O2068" t="str">
            <v>2026-03</v>
          </cell>
        </row>
        <row r="2069">
          <cell r="G2069">
            <v>340071825</v>
          </cell>
          <cell r="O2069" t="str">
            <v>2026-09</v>
          </cell>
        </row>
        <row r="2070">
          <cell r="G2070">
            <v>220023336</v>
          </cell>
          <cell r="O2070" t="str">
            <v>2025-12</v>
          </cell>
        </row>
        <row r="2071">
          <cell r="G2071">
            <v>60054068</v>
          </cell>
          <cell r="O2071" t="str">
            <v>2026-09</v>
          </cell>
        </row>
        <row r="2072">
          <cell r="G2072">
            <v>220024753</v>
          </cell>
          <cell r="O2072" t="str">
            <v>2025-12</v>
          </cell>
        </row>
        <row r="2073">
          <cell r="G2073">
            <v>220025935</v>
          </cell>
          <cell r="O2073" t="str">
            <v>2026-07</v>
          </cell>
        </row>
        <row r="2074">
          <cell r="G2074">
            <v>220027718</v>
          </cell>
          <cell r="O2074" t="str">
            <v>2026-07</v>
          </cell>
        </row>
        <row r="2075">
          <cell r="G2075">
            <v>230153001</v>
          </cell>
          <cell r="O2075" t="str">
            <v>2026-09</v>
          </cell>
        </row>
        <row r="2076">
          <cell r="G2076">
            <v>220016195</v>
          </cell>
          <cell r="O2076" t="str">
            <v>2026-09</v>
          </cell>
        </row>
        <row r="2077">
          <cell r="G2077">
            <v>220017664</v>
          </cell>
          <cell r="O2077" t="str">
            <v>2026-05</v>
          </cell>
        </row>
        <row r="2078">
          <cell r="G2078">
            <v>220019318</v>
          </cell>
          <cell r="O2078" t="str">
            <v>2026-04</v>
          </cell>
        </row>
        <row r="2079">
          <cell r="G2079">
            <v>220019462</v>
          </cell>
          <cell r="O2079" t="str">
            <v>2026-05</v>
          </cell>
        </row>
        <row r="2080">
          <cell r="G2080">
            <v>220020194</v>
          </cell>
          <cell r="O2080" t="str">
            <v>2026-03</v>
          </cell>
        </row>
        <row r="2081">
          <cell r="G2081">
            <v>220020245</v>
          </cell>
          <cell r="O2081" t="str">
            <v>2025-12</v>
          </cell>
        </row>
        <row r="2082">
          <cell r="G2082">
            <v>220023341</v>
          </cell>
          <cell r="O2082" t="str">
            <v>2025-12</v>
          </cell>
        </row>
        <row r="2083">
          <cell r="G2083">
            <v>220023880</v>
          </cell>
          <cell r="O2083" t="str">
            <v>2026-03</v>
          </cell>
        </row>
        <row r="2084">
          <cell r="G2084">
            <v>220026383</v>
          </cell>
          <cell r="O2084" t="str">
            <v>2026-04</v>
          </cell>
        </row>
        <row r="2085">
          <cell r="G2085">
            <v>220026638</v>
          </cell>
          <cell r="O2085" t="str">
            <v>2025-11</v>
          </cell>
        </row>
        <row r="2086">
          <cell r="G2086">
            <v>220026808</v>
          </cell>
          <cell r="O2086" t="str">
            <v>2026-01</v>
          </cell>
        </row>
        <row r="2087">
          <cell r="G2087">
            <v>220027096</v>
          </cell>
          <cell r="O2087" t="str">
            <v>2026-04</v>
          </cell>
        </row>
        <row r="2088">
          <cell r="G2088">
            <v>220027312</v>
          </cell>
          <cell r="O2088" t="str">
            <v>2026-04</v>
          </cell>
        </row>
        <row r="2089">
          <cell r="G2089">
            <v>220027387</v>
          </cell>
          <cell r="O2089" t="str">
            <v>2026-04</v>
          </cell>
        </row>
        <row r="2090">
          <cell r="G2090">
            <v>220027409</v>
          </cell>
          <cell r="O2090" t="str">
            <v>2026-05</v>
          </cell>
        </row>
        <row r="2091">
          <cell r="G2091">
            <v>230264974</v>
          </cell>
          <cell r="O2091" t="str">
            <v>2026-09</v>
          </cell>
        </row>
        <row r="2092">
          <cell r="G2092">
            <v>230265509</v>
          </cell>
          <cell r="O2092" t="str">
            <v>2026-10</v>
          </cell>
        </row>
        <row r="2093">
          <cell r="G2093">
            <v>230267274</v>
          </cell>
          <cell r="O2093" t="str">
            <v>2025-11</v>
          </cell>
        </row>
        <row r="2094">
          <cell r="G2094">
            <v>220016213</v>
          </cell>
          <cell r="O2094" t="str">
            <v>2026-09</v>
          </cell>
        </row>
        <row r="2095">
          <cell r="G2095">
            <v>220020191</v>
          </cell>
          <cell r="O2095" t="str">
            <v>2026-03</v>
          </cell>
        </row>
        <row r="2096">
          <cell r="G2096">
            <v>220021996</v>
          </cell>
          <cell r="O2096" t="str">
            <v>2026-06</v>
          </cell>
        </row>
        <row r="2097">
          <cell r="G2097">
            <v>220023342</v>
          </cell>
          <cell r="O2097" t="str">
            <v>2025-12</v>
          </cell>
        </row>
        <row r="2098">
          <cell r="G2098">
            <v>220026111</v>
          </cell>
          <cell r="O2098" t="str">
            <v>2026-01</v>
          </cell>
        </row>
        <row r="2099">
          <cell r="G2099">
            <v>220027389</v>
          </cell>
          <cell r="O2099" t="str">
            <v>2026-04</v>
          </cell>
        </row>
        <row r="2100">
          <cell r="G2100">
            <v>220019574</v>
          </cell>
          <cell r="O2100" t="str">
            <v>2026-06</v>
          </cell>
        </row>
        <row r="2101">
          <cell r="G2101">
            <v>220020180</v>
          </cell>
          <cell r="O2101" t="str">
            <v>2026-03</v>
          </cell>
        </row>
        <row r="2102">
          <cell r="G2102">
            <v>220027385</v>
          </cell>
          <cell r="O2102" t="str">
            <v>2026-04</v>
          </cell>
        </row>
        <row r="2103">
          <cell r="G2103">
            <v>220019573</v>
          </cell>
          <cell r="O2103" t="str">
            <v>2026-06</v>
          </cell>
        </row>
        <row r="2104">
          <cell r="G2104">
            <v>220027386</v>
          </cell>
          <cell r="O2104" t="str">
            <v>2026-04</v>
          </cell>
        </row>
        <row r="2105">
          <cell r="G2105">
            <v>132206</v>
          </cell>
          <cell r="O2105" t="str">
            <v>2026-09</v>
          </cell>
        </row>
        <row r="2106">
          <cell r="G2106">
            <v>1675445</v>
          </cell>
          <cell r="O2106" t="str">
            <v>2026-09</v>
          </cell>
        </row>
        <row r="2107">
          <cell r="G2107">
            <v>30045256</v>
          </cell>
          <cell r="O2107" t="str">
            <v>2026-05</v>
          </cell>
        </row>
        <row r="2108">
          <cell r="G2108">
            <v>220025313</v>
          </cell>
          <cell r="O2108" t="str">
            <v>2026-03</v>
          </cell>
        </row>
        <row r="2109">
          <cell r="G2109">
            <v>230246228</v>
          </cell>
          <cell r="O2109" t="str">
            <v>2026-07</v>
          </cell>
        </row>
        <row r="2110">
          <cell r="G2110">
            <v>230255298</v>
          </cell>
          <cell r="O2110" t="str">
            <v>2026-02</v>
          </cell>
        </row>
        <row r="2111">
          <cell r="G2111">
            <v>340092310</v>
          </cell>
          <cell r="O2111" t="str">
            <v>2026-08</v>
          </cell>
        </row>
        <row r="2112">
          <cell r="G2112">
            <v>60054501</v>
          </cell>
          <cell r="O2112" t="str">
            <v>2026-10</v>
          </cell>
        </row>
        <row r="2113">
          <cell r="G2113">
            <v>220018423</v>
          </cell>
          <cell r="O2113" t="str">
            <v>2025-11</v>
          </cell>
        </row>
        <row r="2114">
          <cell r="G2114">
            <v>220026749</v>
          </cell>
          <cell r="O2114" t="str">
            <v>2025-12</v>
          </cell>
        </row>
        <row r="2115">
          <cell r="G2115">
            <v>220026749</v>
          </cell>
          <cell r="O2115" t="str">
            <v>2025-12</v>
          </cell>
        </row>
        <row r="2116">
          <cell r="G2116">
            <v>220026749</v>
          </cell>
          <cell r="O2116" t="str">
            <v>2025-12</v>
          </cell>
        </row>
        <row r="2117">
          <cell r="G2117">
            <v>220026749</v>
          </cell>
          <cell r="O2117" t="str">
            <v>2025-12</v>
          </cell>
        </row>
        <row r="2118">
          <cell r="G2118">
            <v>220026749</v>
          </cell>
          <cell r="O2118" t="str">
            <v>2025-12</v>
          </cell>
        </row>
        <row r="2119">
          <cell r="G2119">
            <v>220026749</v>
          </cell>
          <cell r="O2119" t="str">
            <v>2025-12</v>
          </cell>
        </row>
        <row r="2120">
          <cell r="G2120">
            <v>220026749</v>
          </cell>
          <cell r="O2120" t="str">
            <v>2025-12</v>
          </cell>
        </row>
        <row r="2121">
          <cell r="G2121">
            <v>220026749</v>
          </cell>
          <cell r="O2121" t="str">
            <v>2025-12</v>
          </cell>
        </row>
        <row r="2122">
          <cell r="G2122">
            <v>220026749</v>
          </cell>
          <cell r="O2122" t="str">
            <v>2025-12</v>
          </cell>
        </row>
        <row r="2123">
          <cell r="G2123">
            <v>220026749</v>
          </cell>
          <cell r="O2123" t="str">
            <v>2025-12</v>
          </cell>
        </row>
        <row r="2124">
          <cell r="G2124">
            <v>230239775</v>
          </cell>
          <cell r="O2124" t="str">
            <v>2026-03</v>
          </cell>
        </row>
        <row r="2125">
          <cell r="G2125">
            <v>230239775</v>
          </cell>
          <cell r="O2125" t="str">
            <v>2026-03</v>
          </cell>
        </row>
        <row r="2126">
          <cell r="G2126">
            <v>230239775</v>
          </cell>
          <cell r="O2126" t="str">
            <v>2026-03</v>
          </cell>
        </row>
        <row r="2127">
          <cell r="G2127">
            <v>230239775</v>
          </cell>
          <cell r="O2127" t="str">
            <v>2026-03</v>
          </cell>
        </row>
        <row r="2128">
          <cell r="G2128">
            <v>9261254</v>
          </cell>
          <cell r="O2128" t="str">
            <v>2026-01</v>
          </cell>
        </row>
        <row r="2129">
          <cell r="G2129">
            <v>9261280</v>
          </cell>
          <cell r="O2129" t="str">
            <v>2026-01</v>
          </cell>
        </row>
        <row r="2130">
          <cell r="G2130" t="str">
            <v>23503W</v>
          </cell>
          <cell r="O2130" t="str">
            <v>2025-05</v>
          </cell>
        </row>
        <row r="2131">
          <cell r="G2131" t="str">
            <v>23513W</v>
          </cell>
          <cell r="O2131" t="str">
            <v>2025-06</v>
          </cell>
        </row>
        <row r="2132">
          <cell r="G2132" t="str">
            <v>A0O576</v>
          </cell>
          <cell r="O2132" t="str">
            <v>2025-12</v>
          </cell>
        </row>
        <row r="2133">
          <cell r="G2133" t="str">
            <v>AMM776</v>
          </cell>
          <cell r="O2133" t="str">
            <v>2026-06</v>
          </cell>
        </row>
        <row r="2134">
          <cell r="G2134" t="str">
            <v>APK530</v>
          </cell>
          <cell r="O2134" t="str">
            <v>2026-07</v>
          </cell>
        </row>
        <row r="2135">
          <cell r="G2135" t="str">
            <v>ASF265</v>
          </cell>
          <cell r="O2135" t="str">
            <v>2026-07</v>
          </cell>
        </row>
        <row r="2136">
          <cell r="G2136" t="str">
            <v>AVF273</v>
          </cell>
          <cell r="O2136" t="str">
            <v>2026-02</v>
          </cell>
        </row>
        <row r="2137">
          <cell r="G2137" t="str">
            <v>AWG344</v>
          </cell>
          <cell r="O2137" t="str">
            <v>2026-08</v>
          </cell>
        </row>
        <row r="2138">
          <cell r="G2138" t="str">
            <v>AWM469</v>
          </cell>
          <cell r="O2138" t="str">
            <v>2026-03</v>
          </cell>
        </row>
        <row r="2139">
          <cell r="G2139" t="str">
            <v>BBK389</v>
          </cell>
          <cell r="O2139" t="str">
            <v>2026-02</v>
          </cell>
        </row>
        <row r="2140">
          <cell r="G2140" t="str">
            <v>BCD695</v>
          </cell>
          <cell r="O2140" t="str">
            <v>2026-06</v>
          </cell>
        </row>
        <row r="2141">
          <cell r="G2141" t="str">
            <v>BRH947</v>
          </cell>
          <cell r="O2141" t="str">
            <v>2026-08</v>
          </cell>
        </row>
        <row r="2142">
          <cell r="G2142" t="str">
            <v>BYN696</v>
          </cell>
          <cell r="O2142" t="str">
            <v>2026-02</v>
          </cell>
        </row>
        <row r="2143">
          <cell r="G2143" t="str">
            <v>C2G566</v>
          </cell>
          <cell r="O2143" t="str">
            <v>2026-02</v>
          </cell>
        </row>
        <row r="2144">
          <cell r="G2144" t="str">
            <v>CBP562</v>
          </cell>
          <cell r="O2144" t="str">
            <v>2025-12</v>
          </cell>
        </row>
        <row r="2145">
          <cell r="G2145" t="str">
            <v>CCH172</v>
          </cell>
          <cell r="O2145" t="str">
            <v>2026-08</v>
          </cell>
        </row>
        <row r="2146">
          <cell r="G2146" t="str">
            <v>CGD620</v>
          </cell>
          <cell r="O2146" t="str">
            <v>2026-07</v>
          </cell>
        </row>
        <row r="2147">
          <cell r="G2147" t="str">
            <v>CMA147</v>
          </cell>
          <cell r="O2147" t="str">
            <v>2026-06</v>
          </cell>
        </row>
        <row r="2148">
          <cell r="G2148" t="str">
            <v>D7M837</v>
          </cell>
          <cell r="O2148" t="str">
            <v>2026-06</v>
          </cell>
        </row>
        <row r="2149">
          <cell r="G2149" t="str">
            <v>W71474</v>
          </cell>
          <cell r="O2149" t="str">
            <v>2025-05</v>
          </cell>
        </row>
        <row r="2150">
          <cell r="G2150" t="str">
            <v>BMA630</v>
          </cell>
          <cell r="O2150" t="str">
            <v>2026-01</v>
          </cell>
        </row>
        <row r="2151">
          <cell r="G2151" t="str">
            <v>RTA0G377</v>
          </cell>
          <cell r="O2151" t="str">
            <v>2025-12</v>
          </cell>
        </row>
        <row r="2152">
          <cell r="G2152" t="str">
            <v>RTAAU493</v>
          </cell>
          <cell r="O2152" t="str">
            <v>2025-12</v>
          </cell>
        </row>
        <row r="2153">
          <cell r="G2153" t="str">
            <v>RTALD772</v>
          </cell>
          <cell r="O2153" t="str">
            <v>2026-02</v>
          </cell>
        </row>
        <row r="2154">
          <cell r="G2154" t="str">
            <v>RTAMM776</v>
          </cell>
          <cell r="O2154" t="str">
            <v>2025-11</v>
          </cell>
        </row>
        <row r="2155">
          <cell r="G2155" t="str">
            <v>RTARK234</v>
          </cell>
          <cell r="O2155" t="str">
            <v>2026-04</v>
          </cell>
        </row>
        <row r="2156">
          <cell r="G2156" t="str">
            <v>RTAVF273</v>
          </cell>
          <cell r="O2156" t="str">
            <v>2026-02</v>
          </cell>
        </row>
        <row r="2157">
          <cell r="G2157" t="str">
            <v>RTAVN766</v>
          </cell>
          <cell r="O2157" t="str">
            <v>2026-01</v>
          </cell>
        </row>
        <row r="2158">
          <cell r="G2158" t="str">
            <v>RTAWM469</v>
          </cell>
          <cell r="O2158" t="str">
            <v>2026-04</v>
          </cell>
        </row>
        <row r="2159">
          <cell r="G2159" t="str">
            <v>RTB3B909</v>
          </cell>
          <cell r="O2159" t="str">
            <v>2026-06</v>
          </cell>
        </row>
        <row r="2160">
          <cell r="G2160" t="str">
            <v>RTB5R705</v>
          </cell>
          <cell r="O2160" t="str">
            <v>2025-11</v>
          </cell>
        </row>
        <row r="2161">
          <cell r="G2161" t="str">
            <v>RTBDL184</v>
          </cell>
          <cell r="O2161" t="str">
            <v>2026-08</v>
          </cell>
        </row>
        <row r="2162">
          <cell r="G2162" t="str">
            <v>RTBLN580</v>
          </cell>
          <cell r="O2162" t="str">
            <v>2026-06</v>
          </cell>
        </row>
        <row r="2163">
          <cell r="G2163" t="str">
            <v>RTBMD247</v>
          </cell>
          <cell r="O2163" t="str">
            <v>2025-12</v>
          </cell>
        </row>
        <row r="2164">
          <cell r="G2164" t="str">
            <v>RTC2N455</v>
          </cell>
          <cell r="O2164" t="str">
            <v>2026-07</v>
          </cell>
        </row>
        <row r="2165">
          <cell r="G2165" t="str">
            <v>RTD8L275</v>
          </cell>
          <cell r="O2165" t="str">
            <v>2026-04</v>
          </cell>
        </row>
        <row r="2166">
          <cell r="G2166" t="str">
            <v>RTF8S072</v>
          </cell>
          <cell r="O2166" t="str">
            <v>2026-09</v>
          </cell>
        </row>
        <row r="2167">
          <cell r="G2167" t="str">
            <v>RTH2T818</v>
          </cell>
          <cell r="O2167" t="str">
            <v>2026-07</v>
          </cell>
        </row>
        <row r="2168">
          <cell r="G2168" t="str">
            <v>RTRQH135</v>
          </cell>
          <cell r="O2168" t="str">
            <v>2026-01</v>
          </cell>
        </row>
        <row r="2169">
          <cell r="G2169" t="str">
            <v>RTVBN954</v>
          </cell>
          <cell r="O2169" t="str">
            <v>2025-10</v>
          </cell>
        </row>
        <row r="2170">
          <cell r="G2170" t="str">
            <v>BONO_MAPFRE_S_ME</v>
          </cell>
          <cell r="O2170" t="str">
            <v>2025-01</v>
          </cell>
        </row>
        <row r="2171">
          <cell r="G2171" t="str">
            <v>BONO_MAPFRE_S_MN</v>
          </cell>
          <cell r="O2171" t="str">
            <v>2026-01</v>
          </cell>
        </row>
        <row r="2172">
          <cell r="G2172">
            <v>2031210100517</v>
          </cell>
          <cell r="O2172" t="str">
            <v>2025-12</v>
          </cell>
        </row>
        <row r="2173">
          <cell r="G2173">
            <v>2032210100226</v>
          </cell>
          <cell r="O2173" t="str">
            <v>2025-11</v>
          </cell>
        </row>
        <row r="2174">
          <cell r="G2174">
            <v>2032259900049</v>
          </cell>
          <cell r="O2174" t="str">
            <v>2026-03</v>
          </cell>
        </row>
        <row r="2175">
          <cell r="G2175">
            <v>2032310100140</v>
          </cell>
          <cell r="O2175" t="str">
            <v>2026-07</v>
          </cell>
        </row>
        <row r="2176">
          <cell r="G2176">
            <v>2032510100309</v>
          </cell>
          <cell r="O2176" t="str">
            <v>2026-06</v>
          </cell>
        </row>
        <row r="2177">
          <cell r="G2177">
            <v>2032512200148</v>
          </cell>
          <cell r="O2177" t="str">
            <v>2026-06</v>
          </cell>
        </row>
        <row r="2178">
          <cell r="G2178">
            <v>2742315100008</v>
          </cell>
          <cell r="O2178" t="str">
            <v>2026-01</v>
          </cell>
        </row>
        <row r="2179">
          <cell r="G2179">
            <v>2312510100125</v>
          </cell>
          <cell r="O2179" t="str">
            <v>2026-08</v>
          </cell>
        </row>
        <row r="2180">
          <cell r="G2180">
            <v>2312510100142</v>
          </cell>
          <cell r="O2180" t="str">
            <v>2026-04</v>
          </cell>
        </row>
        <row r="2181">
          <cell r="G2181">
            <v>7011259900292</v>
          </cell>
          <cell r="O2181" t="str">
            <v>2026-06</v>
          </cell>
        </row>
        <row r="2182">
          <cell r="G2182">
            <v>7011359900862</v>
          </cell>
          <cell r="O2182" t="str">
            <v>2026-10</v>
          </cell>
        </row>
        <row r="2183">
          <cell r="G2183">
            <v>7011800107049</v>
          </cell>
          <cell r="O2183" t="str">
            <v>2025-11</v>
          </cell>
        </row>
        <row r="2184">
          <cell r="G2184">
            <v>7011900009905</v>
          </cell>
          <cell r="O2184" t="str">
            <v>2026-02</v>
          </cell>
        </row>
        <row r="2185">
          <cell r="G2185">
            <v>7011900009912</v>
          </cell>
          <cell r="O2185" t="str">
            <v>2026-02</v>
          </cell>
        </row>
        <row r="2186">
          <cell r="G2186">
            <v>7012100062827</v>
          </cell>
          <cell r="O2186" t="str">
            <v>2026-07</v>
          </cell>
        </row>
        <row r="2187">
          <cell r="G2187">
            <v>7012100102174</v>
          </cell>
          <cell r="O2187" t="str">
            <v>2025-11</v>
          </cell>
        </row>
        <row r="2188">
          <cell r="G2188">
            <v>7012100122361</v>
          </cell>
          <cell r="O2188" t="str">
            <v>2025-09</v>
          </cell>
        </row>
        <row r="2189">
          <cell r="G2189">
            <v>7012100122376</v>
          </cell>
          <cell r="O2189" t="str">
            <v>2025-12</v>
          </cell>
        </row>
        <row r="2190">
          <cell r="G2190">
            <v>7012100125606</v>
          </cell>
          <cell r="O2190" t="str">
            <v>2026-01</v>
          </cell>
        </row>
        <row r="2191">
          <cell r="G2191">
            <v>7012200000288</v>
          </cell>
          <cell r="O2191" t="str">
            <v>2026-01</v>
          </cell>
        </row>
        <row r="2192">
          <cell r="G2192">
            <v>7012200031836</v>
          </cell>
          <cell r="O2192" t="str">
            <v>2026-04</v>
          </cell>
        </row>
        <row r="2193">
          <cell r="G2193">
            <v>7012300060114</v>
          </cell>
          <cell r="O2193" t="str">
            <v>2026-07</v>
          </cell>
        </row>
        <row r="2194">
          <cell r="G2194">
            <v>2101959900039</v>
          </cell>
          <cell r="O2194" t="str">
            <v>2026-01</v>
          </cell>
        </row>
        <row r="2195">
          <cell r="G2195">
            <v>2102259900005</v>
          </cell>
          <cell r="O2195" t="str">
            <v>2026-03</v>
          </cell>
        </row>
        <row r="2196">
          <cell r="G2196">
            <v>2102410800004</v>
          </cell>
          <cell r="O2196" t="str">
            <v>2026-01</v>
          </cell>
        </row>
        <row r="2197">
          <cell r="G2197">
            <v>2401459900008</v>
          </cell>
          <cell r="O2197" t="str">
            <v>2026-01</v>
          </cell>
        </row>
        <row r="2198">
          <cell r="G2198">
            <v>2402110100192</v>
          </cell>
          <cell r="O2198" t="str">
            <v>2026-01</v>
          </cell>
        </row>
        <row r="2199">
          <cell r="G2199">
            <v>2402110102526</v>
          </cell>
          <cell r="O2199" t="str">
            <v>2026-06</v>
          </cell>
        </row>
        <row r="2200">
          <cell r="G2200">
            <v>2402159900253</v>
          </cell>
          <cell r="O2200" t="str">
            <v>2025-11</v>
          </cell>
        </row>
        <row r="2201">
          <cell r="G2201">
            <v>2402210101938</v>
          </cell>
          <cell r="O2201" t="str">
            <v>2026-04</v>
          </cell>
        </row>
        <row r="2202">
          <cell r="G2202">
            <v>2402210800284</v>
          </cell>
          <cell r="O2202" t="str">
            <v>2026-06</v>
          </cell>
        </row>
        <row r="2203">
          <cell r="G2203">
            <v>2402259900068</v>
          </cell>
          <cell r="O2203" t="str">
            <v>2026-03</v>
          </cell>
        </row>
        <row r="2204">
          <cell r="G2204">
            <v>2402310104190</v>
          </cell>
          <cell r="O2204" t="str">
            <v>2026-07</v>
          </cell>
        </row>
        <row r="2205">
          <cell r="G2205">
            <v>2402315800323</v>
          </cell>
          <cell r="O2205" t="str">
            <v>2025-12</v>
          </cell>
        </row>
        <row r="2206">
          <cell r="G2206">
            <v>2402410101910</v>
          </cell>
          <cell r="O2206" t="str">
            <v>2026-03</v>
          </cell>
        </row>
        <row r="2207">
          <cell r="G2207">
            <v>2402410101911</v>
          </cell>
          <cell r="O2207" t="str">
            <v>2026-03</v>
          </cell>
        </row>
        <row r="2208">
          <cell r="G2208">
            <v>2402410105386</v>
          </cell>
          <cell r="O2208" t="str">
            <v>2025-10</v>
          </cell>
        </row>
        <row r="2209">
          <cell r="G2209">
            <v>2402410109658</v>
          </cell>
          <cell r="O2209" t="str">
            <v>2025-11</v>
          </cell>
        </row>
        <row r="2210">
          <cell r="G2210">
            <v>2402410800094</v>
          </cell>
          <cell r="O2210" t="str">
            <v>2026-01</v>
          </cell>
        </row>
        <row r="2211">
          <cell r="G2211">
            <v>2402510100003</v>
          </cell>
          <cell r="O2211" t="str">
            <v>2026-04</v>
          </cell>
        </row>
        <row r="2212">
          <cell r="G2212">
            <v>2402510104111</v>
          </cell>
          <cell r="O2212" t="str">
            <v>2025-11</v>
          </cell>
        </row>
        <row r="2213">
          <cell r="G2213">
            <v>2402510106067</v>
          </cell>
          <cell r="O2213" t="str">
            <v>2026-06</v>
          </cell>
        </row>
        <row r="2214">
          <cell r="G2214">
            <v>2402510106290</v>
          </cell>
          <cell r="O2214" t="str">
            <v>2026-06</v>
          </cell>
        </row>
        <row r="2215">
          <cell r="G2215">
            <v>2402510107435</v>
          </cell>
          <cell r="O2215" t="str">
            <v>2026-10</v>
          </cell>
        </row>
        <row r="2216">
          <cell r="G2216">
            <v>2402512200111</v>
          </cell>
          <cell r="O2216" t="str">
            <v>2026-06</v>
          </cell>
        </row>
        <row r="2217">
          <cell r="G2217">
            <v>2202410100472</v>
          </cell>
          <cell r="O2217" t="str">
            <v>2026-03</v>
          </cell>
        </row>
        <row r="2218">
          <cell r="G2218">
            <v>2202410100473</v>
          </cell>
          <cell r="O2218" t="str">
            <v>2026-03</v>
          </cell>
        </row>
        <row r="2219">
          <cell r="G2219">
            <v>2202510100927</v>
          </cell>
          <cell r="O2219" t="str">
            <v>2026-06</v>
          </cell>
        </row>
        <row r="2220">
          <cell r="G2220">
            <v>2222410100133</v>
          </cell>
          <cell r="O2220" t="str">
            <v>2025-11</v>
          </cell>
        </row>
        <row r="2221">
          <cell r="G2221">
            <v>3022400431386</v>
          </cell>
          <cell r="O2221" t="str">
            <v>2025-12</v>
          </cell>
        </row>
        <row r="2222">
          <cell r="G2222">
            <v>3022500029470</v>
          </cell>
          <cell r="O2222" t="str">
            <v>2026-01</v>
          </cell>
        </row>
        <row r="2223">
          <cell r="G2223">
            <v>3022500029518</v>
          </cell>
          <cell r="O2223" t="str">
            <v>2026-01</v>
          </cell>
        </row>
        <row r="2224">
          <cell r="G2224">
            <v>3022500029564</v>
          </cell>
          <cell r="O2224" t="str">
            <v>2026-01</v>
          </cell>
        </row>
        <row r="2225">
          <cell r="G2225">
            <v>3022500029573</v>
          </cell>
          <cell r="O2225" t="str">
            <v>2026-01</v>
          </cell>
        </row>
        <row r="2226">
          <cell r="G2226">
            <v>3022500029578</v>
          </cell>
          <cell r="O2226" t="str">
            <v>2026-01</v>
          </cell>
        </row>
        <row r="2227">
          <cell r="G2227">
            <v>3022500029586</v>
          </cell>
          <cell r="O2227" t="str">
            <v>2026-01</v>
          </cell>
        </row>
        <row r="2228">
          <cell r="G2228">
            <v>3022500029594</v>
          </cell>
          <cell r="O2228" t="str">
            <v>2026-01</v>
          </cell>
        </row>
        <row r="2229">
          <cell r="G2229">
            <v>3022500106112</v>
          </cell>
          <cell r="O2229" t="str">
            <v>2026-03</v>
          </cell>
        </row>
        <row r="2230">
          <cell r="G2230">
            <v>3022500136458</v>
          </cell>
          <cell r="O2230" t="str">
            <v>2026-04</v>
          </cell>
        </row>
        <row r="2231">
          <cell r="G2231">
            <v>3022500192443</v>
          </cell>
          <cell r="O2231" t="str">
            <v>2026-06</v>
          </cell>
        </row>
        <row r="2232">
          <cell r="G2232">
            <v>3022500226212</v>
          </cell>
          <cell r="O2232" t="str">
            <v>2026-06</v>
          </cell>
        </row>
        <row r="2233">
          <cell r="G2233">
            <v>2221210100198</v>
          </cell>
          <cell r="O2233" t="str">
            <v>2025-12</v>
          </cell>
        </row>
        <row r="2234">
          <cell r="G2234">
            <v>2222510100099</v>
          </cell>
          <cell r="O2234" t="str">
            <v>2026-06</v>
          </cell>
        </row>
        <row r="2235">
          <cell r="G2235">
            <v>2222512200024</v>
          </cell>
          <cell r="O2235" t="str">
            <v>2026-06</v>
          </cell>
        </row>
        <row r="2236">
          <cell r="G2236">
            <v>2502210100008</v>
          </cell>
          <cell r="O2236" t="str">
            <v>2026-11</v>
          </cell>
        </row>
        <row r="2237">
          <cell r="G2237">
            <v>2502259900008</v>
          </cell>
          <cell r="O2237" t="str">
            <v>2026-04</v>
          </cell>
        </row>
        <row r="2238">
          <cell r="G2238">
            <v>2502415800003</v>
          </cell>
          <cell r="O2238" t="str">
            <v>2026-02</v>
          </cell>
        </row>
        <row r="2239">
          <cell r="G2239">
            <v>2502512200008</v>
          </cell>
          <cell r="O2239" t="str">
            <v>2026-06</v>
          </cell>
        </row>
        <row r="2240">
          <cell r="G2240">
            <v>2521410100001</v>
          </cell>
          <cell r="O2240" t="str">
            <v>2026-02</v>
          </cell>
        </row>
        <row r="2241">
          <cell r="G2241">
            <v>2522415800011</v>
          </cell>
          <cell r="O2241" t="str">
            <v>2026-04</v>
          </cell>
        </row>
        <row r="2242">
          <cell r="G2242">
            <v>2522523000002</v>
          </cell>
          <cell r="O2242" t="str">
            <v>2026-06</v>
          </cell>
        </row>
        <row r="2243">
          <cell r="G2243">
            <v>1012510100725</v>
          </cell>
          <cell r="O2243" t="str">
            <v>2026-04</v>
          </cell>
        </row>
        <row r="2244">
          <cell r="G2244">
            <v>1012510101041</v>
          </cell>
          <cell r="O2244" t="str">
            <v>2026-04</v>
          </cell>
        </row>
        <row r="2245">
          <cell r="G2245">
            <v>1012510101582</v>
          </cell>
          <cell r="O2245" t="str">
            <v>2025-12</v>
          </cell>
        </row>
        <row r="2246">
          <cell r="G2246">
            <v>1012510103514</v>
          </cell>
          <cell r="O2246" t="str">
            <v>2025-10</v>
          </cell>
        </row>
        <row r="2247">
          <cell r="G2247">
            <v>1012510103515</v>
          </cell>
          <cell r="O2247" t="str">
            <v>2026-10</v>
          </cell>
        </row>
        <row r="2248">
          <cell r="G2248">
            <v>6100510100281</v>
          </cell>
          <cell r="O2248" t="str">
            <v>2026-05</v>
          </cell>
        </row>
        <row r="2249">
          <cell r="G2249">
            <v>6101915100028</v>
          </cell>
          <cell r="O2249" t="str">
            <v>2026-02</v>
          </cell>
        </row>
        <row r="2250">
          <cell r="G2250">
            <v>6101915100029</v>
          </cell>
          <cell r="O2250" t="str">
            <v>2026-02</v>
          </cell>
        </row>
        <row r="2251">
          <cell r="G2251">
            <v>6102010101189</v>
          </cell>
          <cell r="O2251" t="str">
            <v>2026-10</v>
          </cell>
        </row>
        <row r="2252">
          <cell r="G2252">
            <v>6102110105682</v>
          </cell>
          <cell r="O2252" t="str">
            <v>2025-12</v>
          </cell>
        </row>
        <row r="2253">
          <cell r="G2253">
            <v>6102210100011</v>
          </cell>
          <cell r="O2253" t="str">
            <v>2025-12</v>
          </cell>
        </row>
        <row r="2254">
          <cell r="G2254">
            <v>6102210102595</v>
          </cell>
          <cell r="O2254" t="str">
            <v>2026-04</v>
          </cell>
        </row>
        <row r="2255">
          <cell r="G2255">
            <v>6102210107954</v>
          </cell>
          <cell r="O2255" t="str">
            <v>2025-10</v>
          </cell>
        </row>
        <row r="2256">
          <cell r="G2256">
            <v>6102300001873</v>
          </cell>
          <cell r="O2256" t="str">
            <v>2026-02</v>
          </cell>
        </row>
        <row r="2257">
          <cell r="G2257">
            <v>6102300009143</v>
          </cell>
          <cell r="O2257" t="str">
            <v>2026-04</v>
          </cell>
        </row>
        <row r="2258">
          <cell r="G2258">
            <v>6102400003755</v>
          </cell>
          <cell r="O2258" t="str">
            <v>2026-02</v>
          </cell>
        </row>
        <row r="2259">
          <cell r="G2259">
            <v>6102210103415</v>
          </cell>
          <cell r="O2259" t="str">
            <v>2026-05</v>
          </cell>
        </row>
        <row r="2260">
          <cell r="G2260">
            <v>1161910101744</v>
          </cell>
          <cell r="O2260" t="str">
            <v>2026-05</v>
          </cell>
        </row>
        <row r="2261">
          <cell r="G2261">
            <v>1162010400495</v>
          </cell>
          <cell r="O2261" t="str">
            <v>2026-02</v>
          </cell>
        </row>
        <row r="2262">
          <cell r="G2262">
            <v>1162010400598</v>
          </cell>
          <cell r="O2262" t="str">
            <v>2026-06</v>
          </cell>
        </row>
        <row r="2263">
          <cell r="G2263">
            <v>1162159900065</v>
          </cell>
          <cell r="O2263" t="str">
            <v>2026-04</v>
          </cell>
        </row>
        <row r="2264">
          <cell r="G2264">
            <v>1162210800041</v>
          </cell>
          <cell r="O2264" t="str">
            <v>2026-02</v>
          </cell>
        </row>
        <row r="2265">
          <cell r="G2265">
            <v>1162315800092</v>
          </cell>
          <cell r="O2265" t="str">
            <v>2026-05</v>
          </cell>
        </row>
        <row r="2266">
          <cell r="G2266">
            <v>1162410102828</v>
          </cell>
          <cell r="O2266" t="str">
            <v>2026-08</v>
          </cell>
        </row>
        <row r="2267">
          <cell r="G2267">
            <v>1162510100979</v>
          </cell>
          <cell r="O2267" t="str">
            <v>2026-05</v>
          </cell>
        </row>
        <row r="2268">
          <cell r="G2268">
            <v>1201210800180</v>
          </cell>
          <cell r="O2268" t="str">
            <v>2026-06</v>
          </cell>
        </row>
        <row r="2269">
          <cell r="G2269">
            <v>1201710700046</v>
          </cell>
          <cell r="O2269" t="str">
            <v>2026-09</v>
          </cell>
        </row>
        <row r="2270">
          <cell r="G2270">
            <v>1202210400131</v>
          </cell>
          <cell r="O2270" t="str">
            <v>2026-11</v>
          </cell>
        </row>
        <row r="2271">
          <cell r="G2271">
            <v>1202510100599</v>
          </cell>
          <cell r="O2271" t="str">
            <v>2026-08</v>
          </cell>
        </row>
        <row r="2272">
          <cell r="G2272">
            <v>3010810101980</v>
          </cell>
          <cell r="O2272" t="str">
            <v>2026-03</v>
          </cell>
        </row>
        <row r="2273">
          <cell r="G2273">
            <v>3011259900441</v>
          </cell>
          <cell r="O2273" t="str">
            <v>2026-03</v>
          </cell>
        </row>
        <row r="2274">
          <cell r="G2274">
            <v>3011500037471</v>
          </cell>
          <cell r="O2274" t="str">
            <v>2026-08</v>
          </cell>
        </row>
        <row r="2275">
          <cell r="G2275">
            <v>3011800010046</v>
          </cell>
          <cell r="O2275" t="str">
            <v>2026-02</v>
          </cell>
        </row>
        <row r="2276">
          <cell r="G2276">
            <v>3011800042164</v>
          </cell>
          <cell r="O2276" t="str">
            <v>2026-06</v>
          </cell>
        </row>
        <row r="2277">
          <cell r="G2277">
            <v>3011800048549</v>
          </cell>
          <cell r="O2277" t="str">
            <v>2026-08</v>
          </cell>
        </row>
        <row r="2278">
          <cell r="G2278">
            <v>3012000000929</v>
          </cell>
          <cell r="O2278" t="str">
            <v>2026-01</v>
          </cell>
        </row>
        <row r="2279">
          <cell r="G2279">
            <v>3012300027276</v>
          </cell>
          <cell r="O2279" t="str">
            <v>2026-06</v>
          </cell>
        </row>
        <row r="2280">
          <cell r="G2280">
            <v>3012300044009</v>
          </cell>
          <cell r="O2280" t="str">
            <v>2026-09</v>
          </cell>
        </row>
        <row r="2281">
          <cell r="G2281">
            <v>3012300044012</v>
          </cell>
          <cell r="O2281" t="str">
            <v>2026-09</v>
          </cell>
        </row>
        <row r="2282">
          <cell r="G2282">
            <v>3012400014351</v>
          </cell>
          <cell r="O2282" t="str">
            <v>2026-04</v>
          </cell>
        </row>
        <row r="2283">
          <cell r="G2283">
            <v>3012500009977</v>
          </cell>
          <cell r="O2283" t="str">
            <v>2026-03</v>
          </cell>
        </row>
        <row r="2284">
          <cell r="G2284">
            <v>3012500009997</v>
          </cell>
          <cell r="O2284" t="str">
            <v>2026-03</v>
          </cell>
        </row>
        <row r="2285">
          <cell r="G2285">
            <v>3012500010016</v>
          </cell>
          <cell r="O2285" t="str">
            <v>2026-03</v>
          </cell>
        </row>
        <row r="2286">
          <cell r="G2286">
            <v>3012500032267</v>
          </cell>
          <cell r="O2286" t="str">
            <v>2026-08</v>
          </cell>
        </row>
        <row r="2287">
          <cell r="G2287">
            <v>3012500030715</v>
          </cell>
          <cell r="O2287" t="str">
            <v>2026-08</v>
          </cell>
        </row>
        <row r="2288">
          <cell r="G2288">
            <v>3012500030715</v>
          </cell>
          <cell r="O2288" t="str">
            <v>2026-08</v>
          </cell>
        </row>
        <row r="2289">
          <cell r="G2289">
            <v>3012500030715</v>
          </cell>
          <cell r="O2289" t="str">
            <v>2026-08</v>
          </cell>
        </row>
        <row r="2290">
          <cell r="G2290">
            <v>3012500030715</v>
          </cell>
          <cell r="O2290" t="str">
            <v>2026-08</v>
          </cell>
        </row>
        <row r="2291">
          <cell r="G2291">
            <v>3012500030715</v>
          </cell>
          <cell r="O2291" t="str">
            <v>2026-08</v>
          </cell>
        </row>
        <row r="2292">
          <cell r="G2292">
            <v>3012500030715</v>
          </cell>
          <cell r="O2292" t="str">
            <v>2026-08</v>
          </cell>
        </row>
        <row r="2293">
          <cell r="G2293">
            <v>3012500030715</v>
          </cell>
          <cell r="O2293" t="str">
            <v>2026-08</v>
          </cell>
        </row>
        <row r="2294">
          <cell r="G2294">
            <v>3012500030715</v>
          </cell>
          <cell r="O2294" t="str">
            <v>2026-08</v>
          </cell>
        </row>
        <row r="2295">
          <cell r="G2295">
            <v>2031959903114</v>
          </cell>
          <cell r="O2295" t="str">
            <v>2026-01</v>
          </cell>
        </row>
        <row r="2296">
          <cell r="G2296">
            <v>2032159900079</v>
          </cell>
          <cell r="O2296" t="str">
            <v>2026-02</v>
          </cell>
        </row>
        <row r="2297">
          <cell r="G2297">
            <v>2032410100400</v>
          </cell>
          <cell r="O2297" t="str">
            <v>2025-11</v>
          </cell>
        </row>
        <row r="2298">
          <cell r="G2298">
            <v>2032410800022</v>
          </cell>
          <cell r="O2298" t="str">
            <v>2026-01</v>
          </cell>
        </row>
        <row r="2299">
          <cell r="G2299" t="str">
            <v>BONO_POSITIVA_V_MN</v>
          </cell>
          <cell r="O2299" t="str">
            <v>2025-01</v>
          </cell>
        </row>
        <row r="2300">
          <cell r="G2300">
            <v>30382574</v>
          </cell>
          <cell r="O2300" t="str">
            <v>2026-01</v>
          </cell>
        </row>
        <row r="2301">
          <cell r="G2301">
            <v>30382595</v>
          </cell>
          <cell r="O2301" t="str">
            <v>2026-01</v>
          </cell>
        </row>
        <row r="2302">
          <cell r="G2302">
            <v>1002793388</v>
          </cell>
          <cell r="O2302" t="str">
            <v>2025-12</v>
          </cell>
        </row>
        <row r="2303">
          <cell r="G2303">
            <v>1006181584</v>
          </cell>
          <cell r="O2303" t="str">
            <v>2025-11</v>
          </cell>
        </row>
        <row r="2304">
          <cell r="G2304">
            <v>1019124559</v>
          </cell>
          <cell r="O2304" t="str">
            <v>2026-01</v>
          </cell>
        </row>
        <row r="2305">
          <cell r="G2305">
            <v>1019132826</v>
          </cell>
          <cell r="O2305" t="str">
            <v>2026-01</v>
          </cell>
        </row>
        <row r="2306">
          <cell r="G2306">
            <v>1019302038</v>
          </cell>
          <cell r="O2306" t="str">
            <v>2026-01</v>
          </cell>
        </row>
        <row r="2307">
          <cell r="G2307">
            <v>1688501</v>
          </cell>
          <cell r="O2307" t="str">
            <v>2026-08</v>
          </cell>
        </row>
        <row r="2308">
          <cell r="G2308">
            <v>30068122</v>
          </cell>
          <cell r="O2308" t="str">
            <v>2026-08</v>
          </cell>
        </row>
        <row r="2309">
          <cell r="G2309" t="str">
            <v>A0T205</v>
          </cell>
          <cell r="O2309" t="str">
            <v>2025-12</v>
          </cell>
        </row>
        <row r="2310">
          <cell r="G2310" t="str">
            <v>A1F020</v>
          </cell>
          <cell r="O2310" t="str">
            <v>2026-03</v>
          </cell>
        </row>
        <row r="2311">
          <cell r="G2311" t="str">
            <v>A4N222</v>
          </cell>
          <cell r="O2311" t="str">
            <v>2026-06</v>
          </cell>
        </row>
        <row r="2312">
          <cell r="G2312" t="str">
            <v>A4Q396</v>
          </cell>
          <cell r="O2312" t="str">
            <v>2026-07</v>
          </cell>
        </row>
        <row r="2313">
          <cell r="G2313" t="str">
            <v>A6M258</v>
          </cell>
          <cell r="O2313" t="str">
            <v>2026-06</v>
          </cell>
        </row>
        <row r="2314">
          <cell r="G2314" t="str">
            <v>A6Q400</v>
          </cell>
          <cell r="O2314" t="str">
            <v>2026-05</v>
          </cell>
        </row>
        <row r="2315">
          <cell r="G2315" t="str">
            <v>A6R501</v>
          </cell>
          <cell r="O2315" t="str">
            <v>2026-02</v>
          </cell>
        </row>
        <row r="2316">
          <cell r="G2316" t="str">
            <v>A7X035</v>
          </cell>
          <cell r="O2316" t="str">
            <v>2025-09</v>
          </cell>
        </row>
        <row r="2317">
          <cell r="G2317" t="str">
            <v>A9E197</v>
          </cell>
          <cell r="O2317" t="str">
            <v>2025-08</v>
          </cell>
        </row>
        <row r="2318">
          <cell r="G2318" t="str">
            <v>A9P557</v>
          </cell>
          <cell r="O2318" t="str">
            <v>2025-12</v>
          </cell>
        </row>
        <row r="2319">
          <cell r="G2319" t="str">
            <v>AAH722</v>
          </cell>
          <cell r="O2319" t="str">
            <v>2026-01</v>
          </cell>
        </row>
        <row r="2320">
          <cell r="G2320" t="str">
            <v>AAO360</v>
          </cell>
          <cell r="O2320" t="str">
            <v>2026-02</v>
          </cell>
        </row>
        <row r="2321">
          <cell r="G2321" t="str">
            <v>AAQ055</v>
          </cell>
          <cell r="O2321" t="str">
            <v>2025-10</v>
          </cell>
        </row>
        <row r="2322">
          <cell r="G2322" t="str">
            <v>AAS073</v>
          </cell>
          <cell r="O2322" t="str">
            <v>2026-03</v>
          </cell>
        </row>
        <row r="2323">
          <cell r="G2323" t="str">
            <v>ACB445</v>
          </cell>
          <cell r="O2323" t="str">
            <v>2025-12</v>
          </cell>
        </row>
        <row r="2324">
          <cell r="G2324" t="str">
            <v>ACK530</v>
          </cell>
          <cell r="O2324" t="str">
            <v>2026-01</v>
          </cell>
        </row>
        <row r="2325">
          <cell r="G2325" t="str">
            <v>ACO607</v>
          </cell>
          <cell r="O2325" t="str">
            <v>2026-08</v>
          </cell>
        </row>
        <row r="2326">
          <cell r="G2326" t="str">
            <v>ACX368</v>
          </cell>
          <cell r="O2326" t="str">
            <v>2026-01</v>
          </cell>
        </row>
        <row r="2327">
          <cell r="G2327" t="str">
            <v>ADA440</v>
          </cell>
          <cell r="O2327" t="str">
            <v>2026-01</v>
          </cell>
        </row>
        <row r="2328">
          <cell r="G2328" t="str">
            <v>AEA336</v>
          </cell>
          <cell r="O2328" t="str">
            <v>2026-02</v>
          </cell>
        </row>
        <row r="2329">
          <cell r="G2329" t="str">
            <v>AEA620</v>
          </cell>
          <cell r="O2329" t="str">
            <v>2026-04</v>
          </cell>
        </row>
        <row r="2330">
          <cell r="G2330" t="str">
            <v>AEH643</v>
          </cell>
          <cell r="O2330" t="str">
            <v>2026-04</v>
          </cell>
        </row>
        <row r="2331">
          <cell r="G2331" t="str">
            <v>AEK400</v>
          </cell>
          <cell r="O2331" t="str">
            <v>2026-03</v>
          </cell>
        </row>
        <row r="2332">
          <cell r="G2332" t="str">
            <v>AFA546</v>
          </cell>
          <cell r="O2332" t="str">
            <v>2026-07</v>
          </cell>
        </row>
        <row r="2333">
          <cell r="G2333" t="str">
            <v>AFJ147</v>
          </cell>
          <cell r="O2333" t="str">
            <v>2026-05</v>
          </cell>
        </row>
        <row r="2334">
          <cell r="G2334" t="str">
            <v>AFP010</v>
          </cell>
          <cell r="O2334" t="str">
            <v>2026-07</v>
          </cell>
        </row>
        <row r="2335">
          <cell r="G2335" t="str">
            <v>AFZ034</v>
          </cell>
          <cell r="O2335" t="str">
            <v>2026-07</v>
          </cell>
        </row>
        <row r="2336">
          <cell r="G2336" t="str">
            <v>AHK248</v>
          </cell>
          <cell r="O2336" t="str">
            <v>2026-07</v>
          </cell>
        </row>
        <row r="2337">
          <cell r="G2337" t="str">
            <v>AJH692</v>
          </cell>
          <cell r="O2337" t="str">
            <v>2026-07</v>
          </cell>
        </row>
        <row r="2338">
          <cell r="G2338" t="str">
            <v>AJP124</v>
          </cell>
          <cell r="O2338" t="str">
            <v>2026-08</v>
          </cell>
        </row>
        <row r="2339">
          <cell r="G2339" t="str">
            <v>AJW816</v>
          </cell>
          <cell r="O2339" t="str">
            <v>2026-07</v>
          </cell>
        </row>
        <row r="2340">
          <cell r="G2340" t="str">
            <v>AKQ130</v>
          </cell>
          <cell r="O2340" t="str">
            <v>2026-04</v>
          </cell>
        </row>
        <row r="2341">
          <cell r="G2341" t="str">
            <v>ALG809</v>
          </cell>
          <cell r="O2341" t="str">
            <v>2025-10</v>
          </cell>
        </row>
        <row r="2342">
          <cell r="G2342" t="str">
            <v>ALO388</v>
          </cell>
          <cell r="O2342" t="str">
            <v>2026-02</v>
          </cell>
        </row>
        <row r="2343">
          <cell r="G2343" t="str">
            <v>ALS482</v>
          </cell>
          <cell r="O2343" t="str">
            <v>2025-12</v>
          </cell>
        </row>
        <row r="2344">
          <cell r="G2344" t="str">
            <v>AMJ691</v>
          </cell>
          <cell r="O2344" t="str">
            <v>2026-05</v>
          </cell>
        </row>
        <row r="2345">
          <cell r="G2345" t="str">
            <v>AMS249</v>
          </cell>
          <cell r="O2345" t="str">
            <v>2026-02</v>
          </cell>
        </row>
        <row r="2346">
          <cell r="G2346" t="str">
            <v>AMT238</v>
          </cell>
          <cell r="O2346" t="str">
            <v>2026-02</v>
          </cell>
        </row>
        <row r="2347">
          <cell r="G2347" t="str">
            <v>ANK428</v>
          </cell>
          <cell r="O2347" t="str">
            <v>2026-08</v>
          </cell>
        </row>
        <row r="2348">
          <cell r="G2348" t="str">
            <v>ANP389</v>
          </cell>
          <cell r="O2348" t="str">
            <v>2026-01</v>
          </cell>
        </row>
        <row r="2349">
          <cell r="G2349" t="str">
            <v>APG014</v>
          </cell>
          <cell r="O2349" t="str">
            <v>2026-08</v>
          </cell>
        </row>
        <row r="2350">
          <cell r="G2350" t="str">
            <v>APK638</v>
          </cell>
          <cell r="O2350" t="str">
            <v>2025-09</v>
          </cell>
        </row>
        <row r="2351">
          <cell r="G2351" t="str">
            <v>ARA338</v>
          </cell>
          <cell r="O2351" t="str">
            <v>2026-06</v>
          </cell>
        </row>
        <row r="2352">
          <cell r="G2352" t="str">
            <v>ARB765</v>
          </cell>
          <cell r="O2352" t="str">
            <v>2026-03</v>
          </cell>
        </row>
        <row r="2353">
          <cell r="G2353" t="str">
            <v>ARR558</v>
          </cell>
          <cell r="O2353" t="str">
            <v>2026-01</v>
          </cell>
        </row>
        <row r="2354">
          <cell r="G2354" t="str">
            <v>ASB134</v>
          </cell>
          <cell r="O2354" t="str">
            <v>2026-04</v>
          </cell>
        </row>
        <row r="2355">
          <cell r="G2355" t="str">
            <v>ASQ105</v>
          </cell>
          <cell r="O2355" t="str">
            <v>2025-09</v>
          </cell>
        </row>
        <row r="2356">
          <cell r="G2356" t="str">
            <v>ASR212</v>
          </cell>
          <cell r="O2356" t="str">
            <v>2026-05</v>
          </cell>
        </row>
        <row r="2357">
          <cell r="G2357" t="str">
            <v>ATO243</v>
          </cell>
          <cell r="O2357" t="str">
            <v>2026-04</v>
          </cell>
        </row>
        <row r="2358">
          <cell r="G2358" t="str">
            <v>ATW050</v>
          </cell>
          <cell r="O2358" t="str">
            <v>2026-03</v>
          </cell>
        </row>
        <row r="2359">
          <cell r="G2359" t="str">
            <v>ATY162</v>
          </cell>
          <cell r="O2359" t="str">
            <v>2026-04</v>
          </cell>
        </row>
        <row r="2360">
          <cell r="G2360" t="str">
            <v>AUE109</v>
          </cell>
          <cell r="O2360" t="str">
            <v>2026-01</v>
          </cell>
        </row>
        <row r="2361">
          <cell r="G2361" t="str">
            <v>AUP657</v>
          </cell>
          <cell r="O2361" t="str">
            <v>2026-01</v>
          </cell>
        </row>
        <row r="2362">
          <cell r="G2362" t="str">
            <v>AVF391</v>
          </cell>
          <cell r="O2362" t="str">
            <v>2026-08</v>
          </cell>
        </row>
        <row r="2363">
          <cell r="G2363" t="str">
            <v>AVI794</v>
          </cell>
          <cell r="O2363" t="str">
            <v>2026-01</v>
          </cell>
        </row>
        <row r="2364">
          <cell r="G2364" t="str">
            <v>AVU034</v>
          </cell>
          <cell r="O2364" t="str">
            <v>2026-03</v>
          </cell>
        </row>
        <row r="2365">
          <cell r="G2365" t="str">
            <v>AWK336</v>
          </cell>
          <cell r="O2365" t="str">
            <v>2026-05</v>
          </cell>
        </row>
        <row r="2366">
          <cell r="G2366" t="str">
            <v>AWZ699</v>
          </cell>
          <cell r="O2366" t="str">
            <v>2026-06</v>
          </cell>
        </row>
        <row r="2367">
          <cell r="G2367" t="str">
            <v>AXR566</v>
          </cell>
          <cell r="O2367" t="str">
            <v>2026-04</v>
          </cell>
        </row>
        <row r="2368">
          <cell r="G2368" t="str">
            <v>AXT048</v>
          </cell>
          <cell r="O2368" t="str">
            <v>2026-07</v>
          </cell>
        </row>
        <row r="2369">
          <cell r="G2369" t="str">
            <v>AYA100</v>
          </cell>
          <cell r="O2369" t="str">
            <v>2026-08</v>
          </cell>
        </row>
        <row r="2370">
          <cell r="G2370" t="str">
            <v>AYQ623</v>
          </cell>
          <cell r="O2370" t="str">
            <v>2026-01</v>
          </cell>
        </row>
        <row r="2371">
          <cell r="G2371" t="str">
            <v>B0D174</v>
          </cell>
          <cell r="O2371" t="str">
            <v>2026-01</v>
          </cell>
        </row>
        <row r="2372">
          <cell r="G2372" t="str">
            <v>B0H510</v>
          </cell>
          <cell r="O2372" t="str">
            <v>2026-01</v>
          </cell>
        </row>
        <row r="2373">
          <cell r="G2373" t="str">
            <v>B3A202</v>
          </cell>
          <cell r="O2373" t="str">
            <v>2026-02</v>
          </cell>
        </row>
        <row r="2374">
          <cell r="G2374" t="str">
            <v>B4W159</v>
          </cell>
          <cell r="O2374" t="str">
            <v>2026-05</v>
          </cell>
        </row>
        <row r="2375">
          <cell r="G2375" t="str">
            <v>B5M053</v>
          </cell>
          <cell r="O2375" t="str">
            <v>2026-04</v>
          </cell>
        </row>
        <row r="2376">
          <cell r="G2376" t="str">
            <v>B6S433</v>
          </cell>
          <cell r="O2376" t="str">
            <v>2026-03</v>
          </cell>
        </row>
        <row r="2377">
          <cell r="G2377" t="str">
            <v>B7U541</v>
          </cell>
          <cell r="O2377" t="str">
            <v>2026-04</v>
          </cell>
        </row>
        <row r="2378">
          <cell r="G2378" t="str">
            <v>B8C336</v>
          </cell>
          <cell r="O2378" t="str">
            <v>2025-12</v>
          </cell>
        </row>
        <row r="2379">
          <cell r="G2379" t="str">
            <v>BAG505</v>
          </cell>
          <cell r="O2379" t="str">
            <v>2026-01</v>
          </cell>
        </row>
        <row r="2380">
          <cell r="G2380" t="str">
            <v>BAH134</v>
          </cell>
          <cell r="O2380" t="str">
            <v>2026-07</v>
          </cell>
        </row>
        <row r="2381">
          <cell r="G2381" t="str">
            <v>BAI067</v>
          </cell>
          <cell r="O2381" t="str">
            <v>2026-06</v>
          </cell>
        </row>
        <row r="2382">
          <cell r="G2382" t="str">
            <v>BAQ291</v>
          </cell>
          <cell r="O2382" t="str">
            <v>2026-01</v>
          </cell>
        </row>
        <row r="2383">
          <cell r="G2383" t="str">
            <v>BBC315</v>
          </cell>
          <cell r="O2383" t="str">
            <v>2026-04</v>
          </cell>
        </row>
        <row r="2384">
          <cell r="G2384" t="str">
            <v>BBF064</v>
          </cell>
          <cell r="O2384" t="str">
            <v>2026-03</v>
          </cell>
        </row>
        <row r="2385">
          <cell r="G2385" t="str">
            <v>BBJ506</v>
          </cell>
          <cell r="O2385" t="str">
            <v>2026-07</v>
          </cell>
        </row>
        <row r="2386">
          <cell r="G2386" t="str">
            <v>BBO588</v>
          </cell>
          <cell r="O2386" t="str">
            <v>2026-03</v>
          </cell>
        </row>
        <row r="2387">
          <cell r="G2387" t="str">
            <v>BBO589</v>
          </cell>
          <cell r="O2387" t="str">
            <v>2026-08</v>
          </cell>
        </row>
        <row r="2388">
          <cell r="G2388" t="str">
            <v>BBO638</v>
          </cell>
          <cell r="O2388" t="str">
            <v>2026-01</v>
          </cell>
        </row>
        <row r="2389">
          <cell r="G2389" t="str">
            <v>BCC447</v>
          </cell>
          <cell r="O2389" t="str">
            <v>2026-04</v>
          </cell>
        </row>
        <row r="2390">
          <cell r="G2390" t="str">
            <v>BCD645</v>
          </cell>
          <cell r="O2390" t="str">
            <v>2026-05</v>
          </cell>
        </row>
        <row r="2391">
          <cell r="G2391" t="str">
            <v>BCF096</v>
          </cell>
          <cell r="O2391" t="str">
            <v>2026-04</v>
          </cell>
        </row>
        <row r="2392">
          <cell r="G2392" t="str">
            <v>BCT334</v>
          </cell>
          <cell r="O2392" t="str">
            <v>2026-07</v>
          </cell>
        </row>
        <row r="2393">
          <cell r="G2393" t="str">
            <v>BDJ519</v>
          </cell>
          <cell r="O2393" t="str">
            <v>2025-11</v>
          </cell>
        </row>
        <row r="2394">
          <cell r="G2394" t="str">
            <v>BDQ393</v>
          </cell>
          <cell r="O2394" t="str">
            <v>2026-01</v>
          </cell>
        </row>
        <row r="2395">
          <cell r="G2395" t="str">
            <v>BDT947</v>
          </cell>
          <cell r="O2395" t="str">
            <v>2026-03</v>
          </cell>
        </row>
        <row r="2396">
          <cell r="G2396" t="str">
            <v>BFQ083</v>
          </cell>
          <cell r="O2396" t="str">
            <v>2026-02</v>
          </cell>
        </row>
        <row r="2397">
          <cell r="G2397" t="str">
            <v>BFT099</v>
          </cell>
          <cell r="O2397" t="str">
            <v>2026-03</v>
          </cell>
        </row>
        <row r="2398">
          <cell r="G2398" t="str">
            <v>BFW167</v>
          </cell>
          <cell r="O2398" t="str">
            <v>2025-12</v>
          </cell>
        </row>
        <row r="2399">
          <cell r="G2399" t="str">
            <v>BFW454</v>
          </cell>
          <cell r="O2399" t="str">
            <v>2025-12</v>
          </cell>
        </row>
        <row r="2400">
          <cell r="G2400" t="str">
            <v>BFW520</v>
          </cell>
          <cell r="O2400" t="str">
            <v>2026-02</v>
          </cell>
        </row>
        <row r="2401">
          <cell r="G2401" t="str">
            <v>BHE849</v>
          </cell>
          <cell r="O2401" t="str">
            <v>2025-12</v>
          </cell>
        </row>
        <row r="2402">
          <cell r="G2402" t="str">
            <v>BHI210</v>
          </cell>
          <cell r="O2402" t="str">
            <v>2026-03</v>
          </cell>
        </row>
        <row r="2403">
          <cell r="G2403" t="str">
            <v>BHO678</v>
          </cell>
          <cell r="O2403" t="str">
            <v>2026-02</v>
          </cell>
        </row>
        <row r="2404">
          <cell r="G2404" t="str">
            <v>BHO814</v>
          </cell>
          <cell r="O2404" t="str">
            <v>2026-01</v>
          </cell>
        </row>
        <row r="2405">
          <cell r="G2405" t="str">
            <v>BKM215</v>
          </cell>
          <cell r="O2405" t="str">
            <v>2026-06</v>
          </cell>
        </row>
        <row r="2406">
          <cell r="G2406" t="str">
            <v>BKZ638</v>
          </cell>
          <cell r="O2406" t="str">
            <v>2026-07</v>
          </cell>
        </row>
        <row r="2407">
          <cell r="G2407" t="str">
            <v>BLC683</v>
          </cell>
          <cell r="O2407" t="str">
            <v>2026-08</v>
          </cell>
        </row>
        <row r="2408">
          <cell r="G2408" t="str">
            <v>BLY369</v>
          </cell>
          <cell r="O2408" t="str">
            <v>2026-02</v>
          </cell>
        </row>
        <row r="2409">
          <cell r="G2409" t="str">
            <v>BMD082</v>
          </cell>
          <cell r="O2409" t="str">
            <v>2026-08</v>
          </cell>
        </row>
        <row r="2410">
          <cell r="G2410" t="str">
            <v>BMS540</v>
          </cell>
          <cell r="O2410" t="str">
            <v>2025-12</v>
          </cell>
        </row>
        <row r="2411">
          <cell r="G2411" t="str">
            <v>BNH670</v>
          </cell>
          <cell r="O2411" t="str">
            <v>2026-07</v>
          </cell>
        </row>
        <row r="2412">
          <cell r="G2412" t="str">
            <v>BNK219</v>
          </cell>
          <cell r="O2412" t="str">
            <v>2026-05</v>
          </cell>
        </row>
        <row r="2413">
          <cell r="G2413" t="str">
            <v>BNR617</v>
          </cell>
          <cell r="O2413" t="str">
            <v>2026-01</v>
          </cell>
        </row>
        <row r="2414">
          <cell r="G2414" t="str">
            <v>BQP759</v>
          </cell>
          <cell r="O2414" t="str">
            <v>2026-01</v>
          </cell>
        </row>
        <row r="2415">
          <cell r="G2415" t="str">
            <v>BTL336</v>
          </cell>
          <cell r="O2415" t="str">
            <v>2026-04</v>
          </cell>
        </row>
        <row r="2416">
          <cell r="G2416" t="str">
            <v>BTM538</v>
          </cell>
          <cell r="O2416" t="str">
            <v>2026-01</v>
          </cell>
        </row>
        <row r="2417">
          <cell r="G2417" t="str">
            <v>BTS538</v>
          </cell>
          <cell r="O2417" t="str">
            <v>2026-02</v>
          </cell>
        </row>
        <row r="2418">
          <cell r="G2418" t="str">
            <v>BUC221</v>
          </cell>
          <cell r="O2418" t="str">
            <v>2026-03</v>
          </cell>
        </row>
        <row r="2419">
          <cell r="G2419" t="str">
            <v>BUV556</v>
          </cell>
          <cell r="O2419" t="str">
            <v>2026-05</v>
          </cell>
        </row>
        <row r="2420">
          <cell r="G2420" t="str">
            <v>BVO223</v>
          </cell>
          <cell r="O2420" t="str">
            <v>2025-09</v>
          </cell>
        </row>
        <row r="2421">
          <cell r="G2421" t="str">
            <v>BWE581</v>
          </cell>
          <cell r="O2421" t="str">
            <v>2026-07</v>
          </cell>
        </row>
        <row r="2422">
          <cell r="G2422" t="str">
            <v>BWN306</v>
          </cell>
          <cell r="O2422" t="str">
            <v>2025-12</v>
          </cell>
        </row>
        <row r="2423">
          <cell r="G2423" t="str">
            <v>BZD108</v>
          </cell>
          <cell r="O2423" t="str">
            <v>2026-03</v>
          </cell>
        </row>
        <row r="2424">
          <cell r="G2424" t="str">
            <v>BZM228</v>
          </cell>
          <cell r="O2424" t="str">
            <v>2026-04</v>
          </cell>
        </row>
        <row r="2425">
          <cell r="G2425" t="str">
            <v>BZS216</v>
          </cell>
          <cell r="O2425" t="str">
            <v>2026-07</v>
          </cell>
        </row>
        <row r="2426">
          <cell r="G2426" t="str">
            <v>BZY148</v>
          </cell>
          <cell r="O2426" t="str">
            <v>2026-06</v>
          </cell>
        </row>
        <row r="2427">
          <cell r="G2427" t="str">
            <v>C0T533</v>
          </cell>
          <cell r="O2427" t="str">
            <v>2026-06</v>
          </cell>
        </row>
        <row r="2428">
          <cell r="G2428" t="str">
            <v>C2U313</v>
          </cell>
          <cell r="O2428" t="str">
            <v>2026-07</v>
          </cell>
        </row>
        <row r="2429">
          <cell r="G2429" t="str">
            <v>C3T189</v>
          </cell>
          <cell r="O2429" t="str">
            <v>2026-02</v>
          </cell>
        </row>
        <row r="2430">
          <cell r="G2430" t="str">
            <v>C4W150</v>
          </cell>
          <cell r="O2430" t="str">
            <v>2025-09</v>
          </cell>
        </row>
        <row r="2431">
          <cell r="G2431" t="str">
            <v>C4X372</v>
          </cell>
          <cell r="O2431" t="str">
            <v>2026-06</v>
          </cell>
        </row>
        <row r="2432">
          <cell r="G2432" t="str">
            <v>C5M488</v>
          </cell>
          <cell r="O2432" t="str">
            <v>2026-06</v>
          </cell>
        </row>
        <row r="2433">
          <cell r="G2433" t="str">
            <v>C7V392</v>
          </cell>
          <cell r="O2433" t="str">
            <v>2026-07</v>
          </cell>
        </row>
        <row r="2434">
          <cell r="G2434" t="str">
            <v>C8V240</v>
          </cell>
          <cell r="O2434" t="str">
            <v>2026-08</v>
          </cell>
        </row>
        <row r="2435">
          <cell r="G2435" t="str">
            <v>C9W577</v>
          </cell>
          <cell r="O2435" t="str">
            <v>2025-12</v>
          </cell>
        </row>
        <row r="2436">
          <cell r="G2436" t="str">
            <v>CAY813</v>
          </cell>
          <cell r="O2436" t="str">
            <v>2025-10</v>
          </cell>
        </row>
        <row r="2437">
          <cell r="G2437" t="str">
            <v>CBI254</v>
          </cell>
          <cell r="O2437" t="str">
            <v>2025-12</v>
          </cell>
        </row>
        <row r="2438">
          <cell r="G2438" t="str">
            <v>CCF248</v>
          </cell>
          <cell r="O2438" t="str">
            <v>2025-12</v>
          </cell>
        </row>
        <row r="2439">
          <cell r="G2439" t="str">
            <v>CCN553</v>
          </cell>
          <cell r="O2439" t="str">
            <v>2025-12</v>
          </cell>
        </row>
        <row r="2440">
          <cell r="G2440" t="str">
            <v>CCP608</v>
          </cell>
          <cell r="O2440" t="str">
            <v>2025-12</v>
          </cell>
        </row>
        <row r="2441">
          <cell r="G2441" t="str">
            <v>CCQ317</v>
          </cell>
          <cell r="O2441" t="str">
            <v>2025-12</v>
          </cell>
        </row>
        <row r="2442">
          <cell r="G2442" t="str">
            <v>CCV673</v>
          </cell>
          <cell r="O2442" t="str">
            <v>2025-12</v>
          </cell>
        </row>
        <row r="2443">
          <cell r="G2443" t="str">
            <v>CEU498</v>
          </cell>
          <cell r="O2443" t="str">
            <v>2026-05</v>
          </cell>
        </row>
        <row r="2444">
          <cell r="G2444" t="str">
            <v>CEX296</v>
          </cell>
          <cell r="O2444" t="str">
            <v>2026-05</v>
          </cell>
        </row>
        <row r="2445">
          <cell r="G2445" t="str">
            <v>CFL349</v>
          </cell>
          <cell r="O2445" t="str">
            <v>2026-06</v>
          </cell>
        </row>
        <row r="2446">
          <cell r="G2446" t="str">
            <v>CFT130</v>
          </cell>
          <cell r="O2446" t="str">
            <v>2026-07</v>
          </cell>
        </row>
        <row r="2447">
          <cell r="G2447" t="str">
            <v>CJI294</v>
          </cell>
          <cell r="O2447" t="str">
            <v>2025-12</v>
          </cell>
        </row>
        <row r="2448">
          <cell r="G2448" t="str">
            <v>CJZ111</v>
          </cell>
          <cell r="O2448" t="str">
            <v>2025-12</v>
          </cell>
        </row>
        <row r="2449">
          <cell r="G2449" t="str">
            <v>CLF092</v>
          </cell>
          <cell r="O2449" t="str">
            <v>2026-03</v>
          </cell>
        </row>
        <row r="2450">
          <cell r="G2450" t="str">
            <v>CMC511</v>
          </cell>
          <cell r="O2450" t="str">
            <v>2026-06</v>
          </cell>
        </row>
        <row r="2451">
          <cell r="G2451" t="str">
            <v>CPH475</v>
          </cell>
          <cell r="O2451" t="str">
            <v>2026-06</v>
          </cell>
        </row>
        <row r="2452">
          <cell r="G2452" t="str">
            <v>CST643</v>
          </cell>
          <cell r="O2452" t="str">
            <v>2026-05</v>
          </cell>
        </row>
        <row r="2453">
          <cell r="G2453" t="str">
            <v>D1S228</v>
          </cell>
          <cell r="O2453" t="str">
            <v>2026-01</v>
          </cell>
        </row>
        <row r="2454">
          <cell r="G2454" t="str">
            <v>D1T504</v>
          </cell>
          <cell r="O2454" t="str">
            <v>2026-03</v>
          </cell>
        </row>
        <row r="2455">
          <cell r="G2455" t="str">
            <v>D2P426</v>
          </cell>
          <cell r="O2455" t="str">
            <v>2026-02</v>
          </cell>
        </row>
        <row r="2456">
          <cell r="G2456" t="str">
            <v>D3D571</v>
          </cell>
          <cell r="O2456" t="str">
            <v>2026-03</v>
          </cell>
        </row>
        <row r="2457">
          <cell r="G2457" t="str">
            <v>D3S236</v>
          </cell>
          <cell r="O2457" t="str">
            <v>2026-01</v>
          </cell>
        </row>
        <row r="2458">
          <cell r="G2458" t="str">
            <v>D4R127</v>
          </cell>
          <cell r="O2458" t="str">
            <v>2026-03</v>
          </cell>
        </row>
        <row r="2459">
          <cell r="G2459" t="str">
            <v>D5N138</v>
          </cell>
          <cell r="O2459" t="str">
            <v>2026-08</v>
          </cell>
        </row>
        <row r="2460">
          <cell r="G2460" t="str">
            <v>D6D177</v>
          </cell>
          <cell r="O2460" t="str">
            <v>2026-08</v>
          </cell>
        </row>
        <row r="2461">
          <cell r="G2461" t="str">
            <v>D7T046</v>
          </cell>
          <cell r="O2461" t="str">
            <v>2026-07</v>
          </cell>
        </row>
        <row r="2462">
          <cell r="G2462" t="str">
            <v>D8H523</v>
          </cell>
          <cell r="O2462" t="str">
            <v>2026-07</v>
          </cell>
        </row>
        <row r="2463">
          <cell r="G2463" t="str">
            <v>D9C191</v>
          </cell>
          <cell r="O2463" t="str">
            <v>2026-07</v>
          </cell>
        </row>
        <row r="2464">
          <cell r="G2464" t="str">
            <v>EMI10B</v>
          </cell>
          <cell r="O2464" t="str">
            <v>2026-05</v>
          </cell>
        </row>
        <row r="2465">
          <cell r="G2465" t="str">
            <v>EMI44B</v>
          </cell>
          <cell r="O2465" t="str">
            <v>2026-04</v>
          </cell>
        </row>
        <row r="2466">
          <cell r="G2466" t="str">
            <v>EMI45B</v>
          </cell>
          <cell r="O2466" t="str">
            <v>2026-05</v>
          </cell>
        </row>
        <row r="2467">
          <cell r="G2467" t="str">
            <v>EMI61B</v>
          </cell>
          <cell r="O2467" t="str">
            <v>2026-08</v>
          </cell>
        </row>
        <row r="2468">
          <cell r="G2468" t="str">
            <v>F4B213</v>
          </cell>
          <cell r="O2468" t="str">
            <v>2025-12</v>
          </cell>
        </row>
        <row r="2469">
          <cell r="G2469" t="str">
            <v>F4F138</v>
          </cell>
          <cell r="O2469" t="str">
            <v>2026-01</v>
          </cell>
        </row>
        <row r="2470">
          <cell r="G2470" t="str">
            <v>F4V007</v>
          </cell>
          <cell r="O2470" t="str">
            <v>2026-02</v>
          </cell>
        </row>
        <row r="2471">
          <cell r="G2471" t="str">
            <v>F8S072</v>
          </cell>
          <cell r="O2471" t="str">
            <v>2026-01</v>
          </cell>
        </row>
        <row r="2472">
          <cell r="G2472" t="str">
            <v>F9J033</v>
          </cell>
          <cell r="O2472" t="str">
            <v>2026-07</v>
          </cell>
        </row>
        <row r="2473">
          <cell r="G2473" t="str">
            <v>F9K379</v>
          </cell>
          <cell r="O2473" t="str">
            <v>2026-07</v>
          </cell>
        </row>
        <row r="2474">
          <cell r="G2474" t="str">
            <v>F9L132</v>
          </cell>
          <cell r="O2474" t="str">
            <v>2026-08</v>
          </cell>
        </row>
        <row r="2475">
          <cell r="G2475" t="str">
            <v>F9W034</v>
          </cell>
          <cell r="O2475" t="str">
            <v>2026-07</v>
          </cell>
        </row>
        <row r="2476">
          <cell r="G2476" t="str">
            <v>F9W539</v>
          </cell>
          <cell r="O2476" t="str">
            <v>2026-07</v>
          </cell>
        </row>
        <row r="2477">
          <cell r="G2477" t="str">
            <v>FO4714</v>
          </cell>
          <cell r="O2477" t="str">
            <v>2025-12</v>
          </cell>
        </row>
        <row r="2478">
          <cell r="G2478" t="str">
            <v>H2T818</v>
          </cell>
          <cell r="O2478" t="str">
            <v>2026-07</v>
          </cell>
        </row>
        <row r="2479">
          <cell r="G2479" t="str">
            <v>P2I219</v>
          </cell>
          <cell r="O2479" t="str">
            <v>2026-01</v>
          </cell>
        </row>
        <row r="2480">
          <cell r="G2480" t="str">
            <v>P4G100</v>
          </cell>
          <cell r="O2480" t="str">
            <v>2026-02</v>
          </cell>
        </row>
        <row r="2481">
          <cell r="G2481" t="str">
            <v>T4E162</v>
          </cell>
          <cell r="O2481" t="str">
            <v>2026-01</v>
          </cell>
        </row>
        <row r="2482">
          <cell r="G2482" t="str">
            <v>V0C251</v>
          </cell>
          <cell r="O2482" t="str">
            <v>2026-01</v>
          </cell>
        </row>
        <row r="2483">
          <cell r="G2483" t="str">
            <v>V9U859</v>
          </cell>
          <cell r="O2483" t="str">
            <v>2026-07</v>
          </cell>
        </row>
        <row r="2484">
          <cell r="G2484" t="str">
            <v>AAO570</v>
          </cell>
          <cell r="O2484" t="str">
            <v>2026-06</v>
          </cell>
        </row>
        <row r="2485">
          <cell r="G2485" t="str">
            <v>AMS249</v>
          </cell>
          <cell r="O2485" t="str">
            <v>2025-12</v>
          </cell>
        </row>
        <row r="2486">
          <cell r="G2486" t="str">
            <v>AUO011</v>
          </cell>
          <cell r="O2486" t="str">
            <v>2025-12</v>
          </cell>
        </row>
        <row r="2487">
          <cell r="G2487" t="str">
            <v>B5M053</v>
          </cell>
          <cell r="O2487" t="str">
            <v>2026-05</v>
          </cell>
        </row>
        <row r="2488">
          <cell r="G2488" t="str">
            <v>BHI210</v>
          </cell>
          <cell r="O2488" t="str">
            <v>2026-05</v>
          </cell>
        </row>
        <row r="2489">
          <cell r="G2489" t="str">
            <v>BHO678</v>
          </cell>
          <cell r="O2489" t="str">
            <v>2025-12</v>
          </cell>
        </row>
        <row r="2490">
          <cell r="G2490" t="str">
            <v>BLR467</v>
          </cell>
          <cell r="O2490" t="str">
            <v>2025-11</v>
          </cell>
        </row>
        <row r="2491">
          <cell r="G2491" t="str">
            <v>BNH670</v>
          </cell>
          <cell r="O2491" t="str">
            <v>2026-02</v>
          </cell>
        </row>
        <row r="2492">
          <cell r="G2492" t="str">
            <v>C0T533</v>
          </cell>
          <cell r="O2492" t="str">
            <v>2026-06</v>
          </cell>
        </row>
        <row r="2493">
          <cell r="G2493" t="str">
            <v>F6H521</v>
          </cell>
          <cell r="O2493" t="str">
            <v>2026-02</v>
          </cell>
        </row>
        <row r="2494">
          <cell r="G2494" t="str">
            <v>RTA2J369</v>
          </cell>
          <cell r="O2494" t="str">
            <v>2025-12</v>
          </cell>
        </row>
        <row r="2495">
          <cell r="G2495" t="str">
            <v>RTA6Q400</v>
          </cell>
          <cell r="O2495" t="str">
            <v>2025-12</v>
          </cell>
        </row>
        <row r="2496">
          <cell r="G2496" t="str">
            <v>RTA7B517</v>
          </cell>
          <cell r="O2496" t="str">
            <v>2026-03</v>
          </cell>
        </row>
        <row r="2497">
          <cell r="G2497" t="str">
            <v>RTA8D173</v>
          </cell>
          <cell r="O2497" t="str">
            <v>2025-12</v>
          </cell>
        </row>
        <row r="2498">
          <cell r="G2498" t="str">
            <v>RTA8F496</v>
          </cell>
          <cell r="O2498" t="str">
            <v>2026-04</v>
          </cell>
        </row>
        <row r="2499">
          <cell r="G2499" t="str">
            <v>RTA8H260</v>
          </cell>
          <cell r="O2499" t="str">
            <v>2026-08</v>
          </cell>
        </row>
        <row r="2500">
          <cell r="G2500" t="str">
            <v>RTA9H353</v>
          </cell>
          <cell r="O2500" t="str">
            <v>2026-07</v>
          </cell>
        </row>
        <row r="2501">
          <cell r="G2501" t="str">
            <v>RTA9Z316</v>
          </cell>
          <cell r="O2501" t="str">
            <v>2026-07</v>
          </cell>
        </row>
        <row r="2502">
          <cell r="G2502" t="str">
            <v>RTAAN199</v>
          </cell>
          <cell r="O2502" t="str">
            <v>2025-11</v>
          </cell>
        </row>
        <row r="2503">
          <cell r="G2503" t="str">
            <v>RTAAO360</v>
          </cell>
          <cell r="O2503" t="str">
            <v>2026-05</v>
          </cell>
        </row>
        <row r="2504">
          <cell r="G2504" t="str">
            <v>RTAAQ055</v>
          </cell>
          <cell r="O2504" t="str">
            <v>2025-10</v>
          </cell>
        </row>
        <row r="2505">
          <cell r="G2505" t="str">
            <v>RTAAU299</v>
          </cell>
          <cell r="O2505" t="str">
            <v>2026-03</v>
          </cell>
        </row>
        <row r="2506">
          <cell r="G2506" t="str">
            <v>RTACB445</v>
          </cell>
          <cell r="O2506" t="str">
            <v>2025-12</v>
          </cell>
        </row>
        <row r="2507">
          <cell r="G2507" t="str">
            <v>RTADA440</v>
          </cell>
          <cell r="O2507" t="str">
            <v>2026-03</v>
          </cell>
        </row>
        <row r="2508">
          <cell r="G2508" t="str">
            <v>RTAEA336</v>
          </cell>
          <cell r="O2508" t="str">
            <v>2026-07</v>
          </cell>
        </row>
        <row r="2509">
          <cell r="G2509" t="str">
            <v>RTAEA620</v>
          </cell>
          <cell r="O2509" t="str">
            <v>2026-06</v>
          </cell>
        </row>
        <row r="2510">
          <cell r="G2510" t="str">
            <v>RTAEY657</v>
          </cell>
          <cell r="O2510" t="str">
            <v>2026-01</v>
          </cell>
        </row>
        <row r="2511">
          <cell r="G2511" t="str">
            <v>RTAFA546</v>
          </cell>
          <cell r="O2511" t="str">
            <v>2026-08</v>
          </cell>
        </row>
        <row r="2512">
          <cell r="G2512" t="str">
            <v>RTAFC484</v>
          </cell>
          <cell r="O2512" t="str">
            <v>2026-05</v>
          </cell>
        </row>
        <row r="2513">
          <cell r="G2513" t="str">
            <v>RTAFU265</v>
          </cell>
          <cell r="O2513" t="str">
            <v>2026-05</v>
          </cell>
        </row>
        <row r="2514">
          <cell r="G2514" t="str">
            <v>RTAHH632</v>
          </cell>
          <cell r="O2514" t="str">
            <v>2026-04</v>
          </cell>
        </row>
        <row r="2515">
          <cell r="G2515" t="str">
            <v>RTAJI271</v>
          </cell>
          <cell r="O2515" t="str">
            <v>2026-07</v>
          </cell>
        </row>
        <row r="2516">
          <cell r="G2516" t="str">
            <v>RTAJM233</v>
          </cell>
          <cell r="O2516" t="str">
            <v>2026-04</v>
          </cell>
        </row>
        <row r="2517">
          <cell r="G2517" t="str">
            <v>RTAJP508</v>
          </cell>
          <cell r="O2517" t="str">
            <v>2026-03</v>
          </cell>
        </row>
        <row r="2518">
          <cell r="G2518" t="str">
            <v>RTAKQ130</v>
          </cell>
          <cell r="O2518" t="str">
            <v>2026-07</v>
          </cell>
        </row>
        <row r="2519">
          <cell r="G2519" t="str">
            <v>RTALL652</v>
          </cell>
          <cell r="O2519" t="str">
            <v>2026-08</v>
          </cell>
        </row>
        <row r="2520">
          <cell r="G2520" t="str">
            <v>RTALS482</v>
          </cell>
          <cell r="O2520" t="str">
            <v>2026-07</v>
          </cell>
        </row>
        <row r="2521">
          <cell r="G2521" t="str">
            <v>RTAMC097</v>
          </cell>
          <cell r="O2521" t="str">
            <v>2026-08</v>
          </cell>
        </row>
        <row r="2522">
          <cell r="G2522" t="str">
            <v>RTANE154</v>
          </cell>
          <cell r="O2522" t="str">
            <v>2025-12</v>
          </cell>
        </row>
        <row r="2523">
          <cell r="G2523" t="str">
            <v>RTAPG014</v>
          </cell>
          <cell r="O2523" t="str">
            <v>2026-08</v>
          </cell>
        </row>
        <row r="2524">
          <cell r="G2524" t="str">
            <v>RTAPG021</v>
          </cell>
          <cell r="O2524" t="str">
            <v>2026-01</v>
          </cell>
        </row>
        <row r="2525">
          <cell r="G2525" t="str">
            <v>RTARB765</v>
          </cell>
          <cell r="O2525" t="str">
            <v>2026-02</v>
          </cell>
        </row>
        <row r="2526">
          <cell r="G2526" t="str">
            <v>RTARR000</v>
          </cell>
          <cell r="O2526" t="str">
            <v>2026-05</v>
          </cell>
        </row>
        <row r="2527">
          <cell r="G2527" t="str">
            <v>RTASP726</v>
          </cell>
          <cell r="O2527" t="str">
            <v>2026-02</v>
          </cell>
        </row>
        <row r="2528">
          <cell r="G2528" t="str">
            <v>RTATM337</v>
          </cell>
          <cell r="O2528" t="str">
            <v>2026-08</v>
          </cell>
        </row>
        <row r="2529">
          <cell r="G2529" t="str">
            <v>RTAVI794</v>
          </cell>
          <cell r="O2529" t="str">
            <v>2025-09</v>
          </cell>
        </row>
        <row r="2530">
          <cell r="G2530" t="str">
            <v>RTAWE309</v>
          </cell>
          <cell r="O2530" t="str">
            <v>2025-12</v>
          </cell>
        </row>
        <row r="2531">
          <cell r="G2531" t="str">
            <v>RTAWZ699</v>
          </cell>
          <cell r="O2531" t="str">
            <v>2026-01</v>
          </cell>
        </row>
        <row r="2532">
          <cell r="G2532" t="str">
            <v>RTAXT048</v>
          </cell>
          <cell r="O2532" t="str">
            <v>2026-01</v>
          </cell>
        </row>
        <row r="2533">
          <cell r="G2533" t="str">
            <v>RTAYQ623</v>
          </cell>
          <cell r="O2533" t="str">
            <v>2026-07</v>
          </cell>
        </row>
        <row r="2534">
          <cell r="G2534" t="str">
            <v>RTAZB668</v>
          </cell>
          <cell r="O2534" t="str">
            <v>2026-04</v>
          </cell>
        </row>
        <row r="2535">
          <cell r="G2535" t="str">
            <v>RTAZN623</v>
          </cell>
          <cell r="O2535" t="str">
            <v>2026-07</v>
          </cell>
        </row>
        <row r="2536">
          <cell r="G2536" t="str">
            <v>RTB0H510</v>
          </cell>
          <cell r="O2536" t="str">
            <v>2026-04</v>
          </cell>
        </row>
        <row r="2537">
          <cell r="G2537" t="str">
            <v>RTB0K042</v>
          </cell>
          <cell r="O2537" t="str">
            <v>2025-12</v>
          </cell>
        </row>
        <row r="2538">
          <cell r="G2538" t="str">
            <v>RTB2Q883</v>
          </cell>
          <cell r="O2538" t="str">
            <v>2026-05</v>
          </cell>
        </row>
        <row r="2539">
          <cell r="G2539" t="str">
            <v>RTB2S067</v>
          </cell>
          <cell r="O2539" t="str">
            <v>2026-03</v>
          </cell>
        </row>
        <row r="2540">
          <cell r="G2540" t="str">
            <v>RTB3C309</v>
          </cell>
          <cell r="O2540" t="str">
            <v>2025-08</v>
          </cell>
        </row>
        <row r="2541">
          <cell r="G2541" t="str">
            <v>RTB3O006</v>
          </cell>
          <cell r="O2541" t="str">
            <v>2026-03</v>
          </cell>
        </row>
        <row r="2542">
          <cell r="G2542" t="str">
            <v>RTB7Z150</v>
          </cell>
          <cell r="O2542" t="str">
            <v>2025-12</v>
          </cell>
        </row>
        <row r="2543">
          <cell r="G2543" t="str">
            <v>RTB9Q030</v>
          </cell>
          <cell r="O2543" t="str">
            <v>2025-10</v>
          </cell>
        </row>
        <row r="2544">
          <cell r="G2544" t="str">
            <v>RTB9W570</v>
          </cell>
          <cell r="O2544" t="str">
            <v>2026-07</v>
          </cell>
        </row>
        <row r="2545">
          <cell r="G2545" t="str">
            <v>RTBAI790</v>
          </cell>
          <cell r="O2545" t="str">
            <v>2026-08</v>
          </cell>
        </row>
        <row r="2546">
          <cell r="G2546" t="str">
            <v>RTBAI820</v>
          </cell>
          <cell r="O2546" t="str">
            <v>2025-10</v>
          </cell>
        </row>
        <row r="2547">
          <cell r="G2547" t="str">
            <v>RTBAI828</v>
          </cell>
          <cell r="O2547" t="str">
            <v>2025-04</v>
          </cell>
        </row>
        <row r="2548">
          <cell r="G2548" t="str">
            <v>RTBAI904</v>
          </cell>
          <cell r="O2548" t="str">
            <v>2025-10</v>
          </cell>
        </row>
        <row r="2549">
          <cell r="G2549" t="str">
            <v>RTBBC315</v>
          </cell>
          <cell r="O2549" t="str">
            <v>2026-07</v>
          </cell>
        </row>
        <row r="2550">
          <cell r="G2550" t="str">
            <v>RTBCC447</v>
          </cell>
          <cell r="O2550" t="str">
            <v>2025-12</v>
          </cell>
        </row>
        <row r="2551">
          <cell r="G2551" t="str">
            <v>RTBCR419</v>
          </cell>
          <cell r="O2551" t="str">
            <v>2026-04</v>
          </cell>
        </row>
        <row r="2552">
          <cell r="G2552" t="str">
            <v>RTBDQ393</v>
          </cell>
          <cell r="O2552" t="str">
            <v>2026-05</v>
          </cell>
        </row>
        <row r="2553">
          <cell r="G2553" t="str">
            <v>RTBEA016</v>
          </cell>
          <cell r="O2553" t="str">
            <v>2025-12</v>
          </cell>
        </row>
        <row r="2554">
          <cell r="G2554" t="str">
            <v>RTBEB351</v>
          </cell>
          <cell r="O2554" t="str">
            <v>2026-01</v>
          </cell>
        </row>
        <row r="2555">
          <cell r="G2555" t="str">
            <v>RTBEF568</v>
          </cell>
          <cell r="O2555" t="str">
            <v>2025-12</v>
          </cell>
        </row>
        <row r="2556">
          <cell r="G2556" t="str">
            <v>RTBEO912</v>
          </cell>
          <cell r="O2556" t="str">
            <v>2026-03</v>
          </cell>
        </row>
        <row r="2557">
          <cell r="G2557" t="str">
            <v>RTBFQ083</v>
          </cell>
          <cell r="O2557" t="str">
            <v>2025-12</v>
          </cell>
        </row>
        <row r="2558">
          <cell r="G2558" t="str">
            <v>RTBFT099</v>
          </cell>
          <cell r="O2558" t="str">
            <v>2025-12</v>
          </cell>
        </row>
        <row r="2559">
          <cell r="G2559" t="str">
            <v>RTBFW167</v>
          </cell>
          <cell r="O2559" t="str">
            <v>2026-05</v>
          </cell>
        </row>
        <row r="2560">
          <cell r="G2560" t="str">
            <v>RTBHG112</v>
          </cell>
          <cell r="O2560" t="str">
            <v>2026-05</v>
          </cell>
        </row>
        <row r="2561">
          <cell r="G2561" t="str">
            <v>RTBHI891</v>
          </cell>
          <cell r="O2561" t="str">
            <v>2026-01</v>
          </cell>
        </row>
        <row r="2562">
          <cell r="G2562" t="str">
            <v>RTBHL627</v>
          </cell>
          <cell r="O2562" t="str">
            <v>2026-01</v>
          </cell>
        </row>
        <row r="2563">
          <cell r="G2563" t="str">
            <v>RTBHU908</v>
          </cell>
          <cell r="O2563" t="str">
            <v>2025-10</v>
          </cell>
        </row>
        <row r="2564">
          <cell r="G2564" t="str">
            <v>RTBJY315</v>
          </cell>
          <cell r="O2564" t="str">
            <v>2026-02</v>
          </cell>
        </row>
        <row r="2565">
          <cell r="G2565" t="str">
            <v>RTBKH434</v>
          </cell>
          <cell r="O2565" t="str">
            <v>2026-06</v>
          </cell>
        </row>
        <row r="2566">
          <cell r="G2566" t="str">
            <v>RTBKM215</v>
          </cell>
          <cell r="O2566" t="str">
            <v>2026-08</v>
          </cell>
        </row>
        <row r="2567">
          <cell r="G2567" t="str">
            <v>RTBKS287</v>
          </cell>
          <cell r="O2567" t="str">
            <v>2026-07</v>
          </cell>
        </row>
        <row r="2568">
          <cell r="G2568" t="str">
            <v>RTBLC683</v>
          </cell>
          <cell r="O2568" t="str">
            <v>2026-03</v>
          </cell>
        </row>
        <row r="2569">
          <cell r="G2569" t="str">
            <v>RTBLG358</v>
          </cell>
          <cell r="O2569" t="str">
            <v>2025-12</v>
          </cell>
        </row>
        <row r="2570">
          <cell r="G2570" t="str">
            <v>RTBLN388</v>
          </cell>
          <cell r="O2570" t="str">
            <v>2026-07</v>
          </cell>
        </row>
        <row r="2571">
          <cell r="G2571" t="str">
            <v>RTBLS329</v>
          </cell>
          <cell r="O2571" t="str">
            <v>2025-12</v>
          </cell>
        </row>
        <row r="2572">
          <cell r="G2572" t="str">
            <v>RTBMD082</v>
          </cell>
          <cell r="O2572" t="str">
            <v>2026-05</v>
          </cell>
        </row>
        <row r="2573">
          <cell r="G2573" t="str">
            <v>RTBMS540</v>
          </cell>
          <cell r="O2573" t="str">
            <v>2026-02</v>
          </cell>
        </row>
        <row r="2574">
          <cell r="G2574" t="str">
            <v>RTBMX483</v>
          </cell>
          <cell r="O2574" t="str">
            <v>2026-08</v>
          </cell>
        </row>
        <row r="2575">
          <cell r="G2575" t="str">
            <v>RTBNU465</v>
          </cell>
          <cell r="O2575" t="str">
            <v>2025-12</v>
          </cell>
        </row>
        <row r="2576">
          <cell r="G2576" t="str">
            <v>RTBQP759</v>
          </cell>
          <cell r="O2576" t="str">
            <v>2025-12</v>
          </cell>
        </row>
        <row r="2577">
          <cell r="G2577" t="str">
            <v>RTBRE263</v>
          </cell>
          <cell r="O2577" t="str">
            <v>2026-05</v>
          </cell>
        </row>
        <row r="2578">
          <cell r="G2578" t="str">
            <v>RTBRF211</v>
          </cell>
          <cell r="O2578" t="str">
            <v>2025-12</v>
          </cell>
        </row>
        <row r="2579">
          <cell r="G2579" t="str">
            <v>RTBRV373</v>
          </cell>
          <cell r="O2579" t="str">
            <v>2026-06</v>
          </cell>
        </row>
        <row r="2580">
          <cell r="G2580" t="str">
            <v>RTBSR411</v>
          </cell>
          <cell r="O2580" t="str">
            <v>2026-05</v>
          </cell>
        </row>
        <row r="2581">
          <cell r="G2581" t="str">
            <v>RTBTM538</v>
          </cell>
          <cell r="O2581" t="str">
            <v>2025-12</v>
          </cell>
        </row>
        <row r="2582">
          <cell r="G2582" t="str">
            <v>RTBUR180</v>
          </cell>
          <cell r="O2582" t="str">
            <v>2026-01</v>
          </cell>
        </row>
        <row r="2583">
          <cell r="G2583" t="str">
            <v>RTBVH291</v>
          </cell>
          <cell r="O2583" t="str">
            <v>2026-08</v>
          </cell>
        </row>
        <row r="2584">
          <cell r="G2584" t="str">
            <v>RTBWQ120</v>
          </cell>
          <cell r="O2584" t="str">
            <v>2026-06</v>
          </cell>
        </row>
        <row r="2585">
          <cell r="G2585" t="str">
            <v>RTBXV604</v>
          </cell>
          <cell r="O2585" t="str">
            <v>2025-12</v>
          </cell>
        </row>
        <row r="2586">
          <cell r="G2586" t="str">
            <v>RTC1D126</v>
          </cell>
          <cell r="O2586" t="str">
            <v>2026-04</v>
          </cell>
        </row>
        <row r="2587">
          <cell r="G2587" t="str">
            <v>RTC4J103</v>
          </cell>
          <cell r="O2587" t="str">
            <v>2026-01</v>
          </cell>
        </row>
        <row r="2588">
          <cell r="G2588" t="str">
            <v>RTC4W150</v>
          </cell>
          <cell r="O2588" t="str">
            <v>2025-12</v>
          </cell>
        </row>
        <row r="2589">
          <cell r="G2589" t="str">
            <v>RTC4X372</v>
          </cell>
          <cell r="O2589" t="str">
            <v>2026-06</v>
          </cell>
        </row>
        <row r="2590">
          <cell r="G2590" t="str">
            <v>RTC5N555</v>
          </cell>
          <cell r="O2590" t="str">
            <v>2026-07</v>
          </cell>
        </row>
        <row r="2591">
          <cell r="G2591" t="str">
            <v>RTC7Z038</v>
          </cell>
          <cell r="O2591" t="str">
            <v>2026-03</v>
          </cell>
        </row>
        <row r="2592">
          <cell r="G2592" t="str">
            <v>RTC8E172</v>
          </cell>
          <cell r="O2592" t="str">
            <v>2025-12</v>
          </cell>
        </row>
        <row r="2593">
          <cell r="G2593" t="str">
            <v>RTC9L599</v>
          </cell>
          <cell r="O2593" t="str">
            <v>2025-12</v>
          </cell>
        </row>
        <row r="2594">
          <cell r="G2594" t="str">
            <v>RTCGD620</v>
          </cell>
          <cell r="O2594" t="str">
            <v>2026-07</v>
          </cell>
        </row>
        <row r="2595">
          <cell r="G2595" t="str">
            <v>RTCIP457</v>
          </cell>
          <cell r="O2595" t="str">
            <v>2026-04</v>
          </cell>
        </row>
        <row r="2596">
          <cell r="G2596" t="str">
            <v>RTCQO171</v>
          </cell>
          <cell r="O2596" t="str">
            <v>2026-08</v>
          </cell>
        </row>
        <row r="2597">
          <cell r="G2597" t="str">
            <v>RTD0N014</v>
          </cell>
          <cell r="O2597" t="str">
            <v>2026-01</v>
          </cell>
        </row>
        <row r="2598">
          <cell r="G2598" t="str">
            <v>RTD0Q137</v>
          </cell>
          <cell r="O2598" t="str">
            <v>2025-12</v>
          </cell>
        </row>
        <row r="2599">
          <cell r="G2599" t="str">
            <v>RTD1T504</v>
          </cell>
          <cell r="O2599" t="str">
            <v>2025-08</v>
          </cell>
        </row>
        <row r="2600">
          <cell r="G2600" t="str">
            <v>RTD3S236</v>
          </cell>
          <cell r="O2600" t="str">
            <v>2025-12</v>
          </cell>
        </row>
        <row r="2601">
          <cell r="G2601" t="str">
            <v>RTD4E226</v>
          </cell>
          <cell r="O2601" t="str">
            <v>2026-04</v>
          </cell>
        </row>
        <row r="2602">
          <cell r="G2602" t="str">
            <v>RTD4R127</v>
          </cell>
          <cell r="O2602" t="str">
            <v>2026-08</v>
          </cell>
        </row>
        <row r="2603">
          <cell r="G2603" t="str">
            <v>RTD4U019</v>
          </cell>
          <cell r="O2603" t="str">
            <v>2026-06</v>
          </cell>
        </row>
        <row r="2604">
          <cell r="G2604" t="str">
            <v>RTD5N138</v>
          </cell>
          <cell r="O2604" t="str">
            <v>2026-08</v>
          </cell>
        </row>
        <row r="2605">
          <cell r="G2605" t="str">
            <v>RTD6D177</v>
          </cell>
          <cell r="O2605" t="str">
            <v>2026-01</v>
          </cell>
        </row>
        <row r="2606">
          <cell r="G2606" t="str">
            <v>RTD6X012</v>
          </cell>
          <cell r="O2606" t="str">
            <v>2026-08</v>
          </cell>
        </row>
        <row r="2607">
          <cell r="G2607" t="str">
            <v>RTD7K794</v>
          </cell>
          <cell r="O2607" t="str">
            <v>2026-02</v>
          </cell>
        </row>
        <row r="2608">
          <cell r="G2608" t="str">
            <v>RTD7M837</v>
          </cell>
          <cell r="O2608" t="str">
            <v>2025-12</v>
          </cell>
        </row>
        <row r="2609">
          <cell r="G2609" t="str">
            <v>RTD7Q282</v>
          </cell>
          <cell r="O2609" t="str">
            <v>2025-12</v>
          </cell>
        </row>
        <row r="2610">
          <cell r="G2610" t="str">
            <v>RTD8H523</v>
          </cell>
          <cell r="O2610" t="str">
            <v>2025-12</v>
          </cell>
        </row>
        <row r="2611">
          <cell r="G2611" t="str">
            <v>RTD8L049</v>
          </cell>
          <cell r="O2611" t="str">
            <v>2026-03</v>
          </cell>
        </row>
        <row r="2612">
          <cell r="G2612" t="str">
            <v>RTD9C191</v>
          </cell>
          <cell r="O2612" t="str">
            <v>2026-05</v>
          </cell>
        </row>
        <row r="2613">
          <cell r="G2613" t="str">
            <v>RTEMI10B</v>
          </cell>
          <cell r="O2613" t="str">
            <v>2026-05</v>
          </cell>
        </row>
        <row r="2614">
          <cell r="G2614" t="str">
            <v>RTEMI34A</v>
          </cell>
          <cell r="O2614" t="str">
            <v>2026-08</v>
          </cell>
        </row>
        <row r="2615">
          <cell r="G2615" t="str">
            <v>RTF0U195</v>
          </cell>
          <cell r="O2615" t="str">
            <v>2026-01</v>
          </cell>
        </row>
        <row r="2616">
          <cell r="G2616" t="str">
            <v>RTF1O990</v>
          </cell>
          <cell r="O2616" t="str">
            <v>2025-11</v>
          </cell>
        </row>
        <row r="2617">
          <cell r="G2617" t="str">
            <v>RTF1S249</v>
          </cell>
          <cell r="O2617" t="str">
            <v>2026-07</v>
          </cell>
        </row>
        <row r="2618">
          <cell r="G2618" t="str">
            <v>RTF3O031</v>
          </cell>
          <cell r="O2618" t="str">
            <v>2026-02</v>
          </cell>
        </row>
        <row r="2619">
          <cell r="G2619" t="str">
            <v>RTF3R991</v>
          </cell>
          <cell r="O2619" t="str">
            <v>2025-11</v>
          </cell>
        </row>
        <row r="2620">
          <cell r="G2620" t="str">
            <v>RTF4G399</v>
          </cell>
          <cell r="O2620" t="str">
            <v>2026-07</v>
          </cell>
        </row>
        <row r="2621">
          <cell r="G2621" t="str">
            <v>RTF4X556</v>
          </cell>
          <cell r="O2621" t="str">
            <v>2025-12</v>
          </cell>
        </row>
        <row r="2622">
          <cell r="G2622" t="str">
            <v>RTF5U510</v>
          </cell>
          <cell r="O2622" t="str">
            <v>2026-08</v>
          </cell>
        </row>
        <row r="2623">
          <cell r="G2623" t="str">
            <v>RTF7I086</v>
          </cell>
          <cell r="O2623" t="str">
            <v>2026-06</v>
          </cell>
        </row>
        <row r="2624">
          <cell r="G2624" t="str">
            <v>RTF9W539</v>
          </cell>
          <cell r="O2624" t="str">
            <v>2026-03</v>
          </cell>
        </row>
        <row r="2625">
          <cell r="G2625" t="str">
            <v>RTT4E162</v>
          </cell>
          <cell r="O2625" t="str">
            <v>2025-10</v>
          </cell>
        </row>
        <row r="2626">
          <cell r="G2626" t="str">
            <v>RTV9U859</v>
          </cell>
          <cell r="O2626" t="str">
            <v>2026-04</v>
          </cell>
        </row>
        <row r="2627">
          <cell r="G2627" t="str">
            <v>RTV9Y736</v>
          </cell>
          <cell r="O2627" t="str">
            <v>2025-11</v>
          </cell>
        </row>
        <row r="2628">
          <cell r="G2628" t="str">
            <v>RTVAD799</v>
          </cell>
          <cell r="O2628" t="str">
            <v>2026-02</v>
          </cell>
        </row>
        <row r="2629">
          <cell r="G2629" t="str">
            <v>BONO_RIMAC_S_ME</v>
          </cell>
          <cell r="O2629" t="str">
            <v>2026-01</v>
          </cell>
        </row>
        <row r="2630">
          <cell r="G2630" t="str">
            <v>BONO_RIMAC_S_MN</v>
          </cell>
          <cell r="O2630" t="str">
            <v>2026-01</v>
          </cell>
        </row>
        <row r="2631">
          <cell r="G2631">
            <v>526639</v>
          </cell>
          <cell r="O2631" t="str">
            <v>2025-12</v>
          </cell>
        </row>
        <row r="2632">
          <cell r="G2632">
            <v>528906</v>
          </cell>
          <cell r="O2632" t="str">
            <v>2026-08</v>
          </cell>
        </row>
        <row r="2633">
          <cell r="G2633">
            <v>538080</v>
          </cell>
          <cell r="O2633" t="str">
            <v>2026-02</v>
          </cell>
        </row>
        <row r="2634">
          <cell r="G2634">
            <v>540924</v>
          </cell>
          <cell r="O2634" t="str">
            <v>2026-10</v>
          </cell>
        </row>
        <row r="2635">
          <cell r="G2635">
            <v>547323</v>
          </cell>
          <cell r="O2635" t="str">
            <v>2026-02</v>
          </cell>
        </row>
        <row r="2636">
          <cell r="G2636">
            <v>505356</v>
          </cell>
          <cell r="O2636" t="str">
            <v>2026-01</v>
          </cell>
        </row>
        <row r="2637">
          <cell r="G2637">
            <v>605841</v>
          </cell>
          <cell r="O2637" t="str">
            <v>2026-10</v>
          </cell>
        </row>
        <row r="2638">
          <cell r="G2638">
            <v>510573</v>
          </cell>
          <cell r="O2638" t="str">
            <v>2026-11</v>
          </cell>
        </row>
        <row r="2639">
          <cell r="G2639" t="str">
            <v>P0039204</v>
          </cell>
          <cell r="O2639" t="str">
            <v>2025-11</v>
          </cell>
        </row>
        <row r="2640">
          <cell r="G2640" t="str">
            <v>P0186645</v>
          </cell>
          <cell r="O2640" t="str">
            <v>2025-11</v>
          </cell>
        </row>
        <row r="2641">
          <cell r="G2641" t="str">
            <v>P0276163</v>
          </cell>
          <cell r="O2641" t="str">
            <v>2025-11</v>
          </cell>
        </row>
        <row r="2642">
          <cell r="G2642" t="str">
            <v>P0278673</v>
          </cell>
          <cell r="O2642" t="str">
            <v>2026-09</v>
          </cell>
        </row>
        <row r="2643">
          <cell r="G2643" t="str">
            <v>P0278988</v>
          </cell>
          <cell r="O2643" t="str">
            <v>2025-11</v>
          </cell>
        </row>
        <row r="2644">
          <cell r="G2644" t="str">
            <v>P0283307</v>
          </cell>
          <cell r="O2644" t="str">
            <v>2025-11</v>
          </cell>
        </row>
        <row r="2645">
          <cell r="G2645" t="str">
            <v>P0333245</v>
          </cell>
          <cell r="O2645" t="str">
            <v>2025-11</v>
          </cell>
        </row>
        <row r="2646">
          <cell r="G2646" t="str">
            <v>P0333917</v>
          </cell>
          <cell r="O2646" t="str">
            <v>2025-09</v>
          </cell>
        </row>
        <row r="2647">
          <cell r="G2647" t="str">
            <v>P0334251</v>
          </cell>
          <cell r="O2647" t="str">
            <v>2025-09</v>
          </cell>
        </row>
        <row r="2648">
          <cell r="G2648" t="str">
            <v>P0334869</v>
          </cell>
          <cell r="O2648" t="str">
            <v>2025-10</v>
          </cell>
        </row>
        <row r="2649">
          <cell r="G2649">
            <v>507049</v>
          </cell>
          <cell r="O2649" t="str">
            <v>2026-02</v>
          </cell>
        </row>
        <row r="2650">
          <cell r="G2650">
            <v>519406</v>
          </cell>
          <cell r="O2650" t="str">
            <v>2026-02</v>
          </cell>
        </row>
        <row r="2651">
          <cell r="G2651">
            <v>523042</v>
          </cell>
          <cell r="O2651" t="str">
            <v>2025-12</v>
          </cell>
        </row>
        <row r="2652">
          <cell r="G2652">
            <v>524574</v>
          </cell>
          <cell r="O2652" t="str">
            <v>2025-12</v>
          </cell>
        </row>
        <row r="2653">
          <cell r="G2653">
            <v>526592</v>
          </cell>
          <cell r="O2653" t="str">
            <v>2025-12</v>
          </cell>
        </row>
        <row r="2654">
          <cell r="G2654">
            <v>527347</v>
          </cell>
          <cell r="O2654" t="str">
            <v>2026-09</v>
          </cell>
        </row>
        <row r="2655">
          <cell r="G2655">
            <v>534974</v>
          </cell>
          <cell r="O2655" t="str">
            <v>2026-05</v>
          </cell>
        </row>
        <row r="2656">
          <cell r="G2656">
            <v>537822</v>
          </cell>
          <cell r="O2656" t="str">
            <v>2026-01</v>
          </cell>
        </row>
        <row r="2657">
          <cell r="G2657">
            <v>541711</v>
          </cell>
          <cell r="O2657" t="str">
            <v>2026-01</v>
          </cell>
        </row>
        <row r="2658">
          <cell r="G2658">
            <v>542205</v>
          </cell>
          <cell r="O2658" t="str">
            <v>2026-05</v>
          </cell>
        </row>
        <row r="2659">
          <cell r="G2659">
            <v>548772</v>
          </cell>
          <cell r="O2659" t="str">
            <v>2026-11</v>
          </cell>
        </row>
        <row r="2660">
          <cell r="G2660">
            <v>553056</v>
          </cell>
          <cell r="O2660" t="str">
            <v>2026-03</v>
          </cell>
        </row>
        <row r="2661">
          <cell r="G2661">
            <v>553181</v>
          </cell>
          <cell r="O2661" t="str">
            <v>2026-03</v>
          </cell>
        </row>
        <row r="2662">
          <cell r="G2662">
            <v>553711</v>
          </cell>
          <cell r="O2662" t="str">
            <v>2026-06</v>
          </cell>
        </row>
        <row r="2663">
          <cell r="G2663">
            <v>554410</v>
          </cell>
          <cell r="O2663" t="str">
            <v>2025-12</v>
          </cell>
        </row>
        <row r="2664">
          <cell r="G2664">
            <v>9402945</v>
          </cell>
          <cell r="O2664" t="str">
            <v>2025-10</v>
          </cell>
        </row>
        <row r="2665">
          <cell r="G2665">
            <v>9411965</v>
          </cell>
          <cell r="O2665" t="str">
            <v>2025-11</v>
          </cell>
        </row>
        <row r="2666">
          <cell r="G2666">
            <v>9417509</v>
          </cell>
          <cell r="O2666" t="str">
            <v>2025-11</v>
          </cell>
        </row>
        <row r="2667">
          <cell r="G2667">
            <v>9429707</v>
          </cell>
          <cell r="O2667" t="str">
            <v>2025-12</v>
          </cell>
        </row>
        <row r="2668">
          <cell r="G2668">
            <v>9447022</v>
          </cell>
          <cell r="O2668" t="str">
            <v>2025-12</v>
          </cell>
        </row>
        <row r="2669">
          <cell r="G2669">
            <v>9453803</v>
          </cell>
          <cell r="O2669" t="str">
            <v>2026-01</v>
          </cell>
        </row>
        <row r="2670">
          <cell r="G2670">
            <v>9456176</v>
          </cell>
          <cell r="O2670" t="str">
            <v>2026-01</v>
          </cell>
        </row>
        <row r="2671">
          <cell r="G2671">
            <v>9463048</v>
          </cell>
          <cell r="O2671" t="str">
            <v>2026-01</v>
          </cell>
        </row>
        <row r="2672">
          <cell r="G2672">
            <v>9480347</v>
          </cell>
          <cell r="O2672" t="str">
            <v>2026-02</v>
          </cell>
        </row>
        <row r="2673">
          <cell r="G2673">
            <v>9490154</v>
          </cell>
          <cell r="O2673" t="str">
            <v>2026-02</v>
          </cell>
        </row>
        <row r="2674">
          <cell r="G2674">
            <v>9501919</v>
          </cell>
          <cell r="O2674" t="str">
            <v>2026-03</v>
          </cell>
        </row>
        <row r="2675">
          <cell r="G2675">
            <v>9513392</v>
          </cell>
          <cell r="O2675" t="str">
            <v>2026-04</v>
          </cell>
        </row>
        <row r="2676">
          <cell r="G2676">
            <v>9513637</v>
          </cell>
          <cell r="O2676" t="str">
            <v>2026-03</v>
          </cell>
        </row>
        <row r="2677">
          <cell r="G2677">
            <v>9544780</v>
          </cell>
          <cell r="O2677" t="str">
            <v>2026-04</v>
          </cell>
        </row>
        <row r="2678">
          <cell r="G2678">
            <v>9552413</v>
          </cell>
          <cell r="O2678" t="str">
            <v>2026-05</v>
          </cell>
        </row>
        <row r="2679">
          <cell r="G2679">
            <v>9554157</v>
          </cell>
          <cell r="O2679" t="str">
            <v>2026-05</v>
          </cell>
        </row>
        <row r="2680">
          <cell r="G2680">
            <v>9559761</v>
          </cell>
          <cell r="O2680" t="str">
            <v>2026-05</v>
          </cell>
        </row>
        <row r="2681">
          <cell r="G2681">
            <v>9563396</v>
          </cell>
          <cell r="O2681" t="str">
            <v>2026-05</v>
          </cell>
        </row>
        <row r="2682">
          <cell r="G2682">
            <v>9565177</v>
          </cell>
          <cell r="O2682" t="str">
            <v>2026-06</v>
          </cell>
        </row>
        <row r="2683">
          <cell r="G2683">
            <v>9568115</v>
          </cell>
          <cell r="O2683" t="str">
            <v>2026-06</v>
          </cell>
        </row>
        <row r="2684">
          <cell r="G2684">
            <v>9569497</v>
          </cell>
          <cell r="O2684" t="str">
            <v>2026-06</v>
          </cell>
        </row>
        <row r="2685">
          <cell r="G2685">
            <v>9573383</v>
          </cell>
          <cell r="O2685" t="str">
            <v>2026-06</v>
          </cell>
        </row>
        <row r="2686">
          <cell r="G2686">
            <v>9584867</v>
          </cell>
          <cell r="O2686" t="str">
            <v>2026-07</v>
          </cell>
        </row>
        <row r="2687">
          <cell r="G2687">
            <v>9588565</v>
          </cell>
          <cell r="O2687" t="str">
            <v>2026-07</v>
          </cell>
        </row>
        <row r="2688">
          <cell r="G2688">
            <v>9627658</v>
          </cell>
          <cell r="O2688" t="str">
            <v>2026-08</v>
          </cell>
        </row>
        <row r="2689">
          <cell r="G2689">
            <v>9627683</v>
          </cell>
          <cell r="O2689" t="str">
            <v>2026-08</v>
          </cell>
        </row>
        <row r="2690">
          <cell r="G2690">
            <v>9629886</v>
          </cell>
          <cell r="O2690" t="str">
            <v>2026-08</v>
          </cell>
        </row>
        <row r="2691">
          <cell r="G2691">
            <v>9642997</v>
          </cell>
          <cell r="O2691" t="str">
            <v>2026-09</v>
          </cell>
        </row>
        <row r="2692">
          <cell r="G2692">
            <v>9653685</v>
          </cell>
          <cell r="O2692" t="str">
            <v>2026-09</v>
          </cell>
        </row>
        <row r="2693">
          <cell r="G2693">
            <v>9669789</v>
          </cell>
          <cell r="O2693" t="str">
            <v>2026-10</v>
          </cell>
        </row>
        <row r="2694">
          <cell r="G2694">
            <v>9669801</v>
          </cell>
          <cell r="O2694" t="str">
            <v>2026-10</v>
          </cell>
        </row>
        <row r="2695">
          <cell r="G2695">
            <v>1300641243</v>
          </cell>
          <cell r="O2695" t="str">
            <v>2026-10</v>
          </cell>
        </row>
        <row r="2696">
          <cell r="G2696">
            <v>502011</v>
          </cell>
          <cell r="O2696" t="str">
            <v>2026-02</v>
          </cell>
        </row>
        <row r="2697">
          <cell r="G2697">
            <v>507456</v>
          </cell>
          <cell r="O2697" t="str">
            <v>2025-12</v>
          </cell>
        </row>
        <row r="2698">
          <cell r="G2698">
            <v>500867</v>
          </cell>
          <cell r="O2698" t="str">
            <v>2025-12</v>
          </cell>
        </row>
        <row r="2699">
          <cell r="G2699">
            <v>500907</v>
          </cell>
          <cell r="O2699" t="str">
            <v>2025-12</v>
          </cell>
        </row>
        <row r="2700">
          <cell r="G2700">
            <v>506059</v>
          </cell>
          <cell r="O2700" t="str">
            <v>2025-11</v>
          </cell>
        </row>
        <row r="2701">
          <cell r="G2701">
            <v>527091</v>
          </cell>
          <cell r="O2701" t="str">
            <v>2026-05</v>
          </cell>
        </row>
        <row r="2702">
          <cell r="G2702">
            <v>501082</v>
          </cell>
          <cell r="O2702" t="str">
            <v>2033-07</v>
          </cell>
        </row>
        <row r="2703">
          <cell r="G2703">
            <v>42139</v>
          </cell>
          <cell r="O2703" t="str">
            <v>2025-12</v>
          </cell>
        </row>
        <row r="2704">
          <cell r="G2704">
            <v>42979</v>
          </cell>
          <cell r="O2704" t="str">
            <v>2026-05</v>
          </cell>
        </row>
        <row r="2705">
          <cell r="G2705">
            <v>44654</v>
          </cell>
          <cell r="O2705" t="str">
            <v>2025-10</v>
          </cell>
        </row>
        <row r="2706">
          <cell r="G2706">
            <v>45586</v>
          </cell>
          <cell r="O2706" t="str">
            <v>2025-10</v>
          </cell>
        </row>
        <row r="2707">
          <cell r="G2707">
            <v>46637</v>
          </cell>
          <cell r="O2707" t="str">
            <v>2026-07</v>
          </cell>
        </row>
        <row r="2708">
          <cell r="G2708">
            <v>46781</v>
          </cell>
          <cell r="O2708" t="str">
            <v>2025-10</v>
          </cell>
        </row>
        <row r="2709">
          <cell r="G2709">
            <v>47194</v>
          </cell>
          <cell r="O2709" t="str">
            <v>2026-02</v>
          </cell>
        </row>
        <row r="2710">
          <cell r="G2710">
            <v>47587</v>
          </cell>
          <cell r="O2710" t="str">
            <v>2025-09</v>
          </cell>
        </row>
        <row r="2711">
          <cell r="G2711">
            <v>47641</v>
          </cell>
          <cell r="O2711" t="str">
            <v>2026-06</v>
          </cell>
        </row>
        <row r="2712">
          <cell r="G2712">
            <v>47846</v>
          </cell>
          <cell r="O2712" t="str">
            <v>2025-10</v>
          </cell>
        </row>
        <row r="2713">
          <cell r="G2713">
            <v>47903</v>
          </cell>
          <cell r="O2713" t="str">
            <v>2025-10</v>
          </cell>
        </row>
        <row r="2714">
          <cell r="G2714">
            <v>47977</v>
          </cell>
          <cell r="O2714" t="str">
            <v>2025-10</v>
          </cell>
        </row>
        <row r="2715">
          <cell r="G2715">
            <v>47979</v>
          </cell>
          <cell r="O2715" t="str">
            <v>2025-10</v>
          </cell>
        </row>
        <row r="2716">
          <cell r="G2716">
            <v>47981</v>
          </cell>
          <cell r="O2716" t="str">
            <v>2025-10</v>
          </cell>
        </row>
        <row r="2717">
          <cell r="G2717">
            <v>48115</v>
          </cell>
          <cell r="O2717" t="str">
            <v>2025-12</v>
          </cell>
        </row>
        <row r="2718">
          <cell r="G2718">
            <v>48316</v>
          </cell>
          <cell r="O2718" t="str">
            <v>2026-02</v>
          </cell>
        </row>
        <row r="2719">
          <cell r="G2719">
            <v>48411</v>
          </cell>
          <cell r="O2719" t="str">
            <v>2025-10</v>
          </cell>
        </row>
        <row r="2720">
          <cell r="G2720">
            <v>48447</v>
          </cell>
          <cell r="O2720" t="str">
            <v>2025-10</v>
          </cell>
        </row>
        <row r="2721">
          <cell r="G2721">
            <v>48486</v>
          </cell>
          <cell r="O2721" t="str">
            <v>2026-02</v>
          </cell>
        </row>
        <row r="2722">
          <cell r="G2722">
            <v>48599</v>
          </cell>
          <cell r="O2722" t="str">
            <v>2026-03</v>
          </cell>
        </row>
        <row r="2723">
          <cell r="G2723">
            <v>48899</v>
          </cell>
          <cell r="O2723" t="str">
            <v>2025-11</v>
          </cell>
        </row>
        <row r="2724">
          <cell r="G2724">
            <v>47871</v>
          </cell>
          <cell r="O2724" t="str">
            <v>2026-09</v>
          </cell>
        </row>
        <row r="2725">
          <cell r="G2725">
            <v>15142</v>
          </cell>
          <cell r="O2725" t="str">
            <v>2026-04</v>
          </cell>
        </row>
        <row r="2726">
          <cell r="G2726">
            <v>15408</v>
          </cell>
          <cell r="O2726" t="str">
            <v>2026-04</v>
          </cell>
        </row>
        <row r="2727">
          <cell r="G2727">
            <v>4018000104</v>
          </cell>
          <cell r="O2727" t="str">
            <v>2026-09</v>
          </cell>
        </row>
        <row r="2728">
          <cell r="G2728">
            <v>4018003390</v>
          </cell>
          <cell r="O2728" t="str">
            <v>2026-04</v>
          </cell>
        </row>
        <row r="2729">
          <cell r="G2729">
            <v>2211</v>
          </cell>
          <cell r="O2729" t="str">
            <v>2026-02</v>
          </cell>
        </row>
        <row r="2730">
          <cell r="G2730">
            <v>5258</v>
          </cell>
          <cell r="O2730" t="str">
            <v>2026-08</v>
          </cell>
        </row>
        <row r="2731">
          <cell r="G2731">
            <v>5264</v>
          </cell>
          <cell r="O2731" t="str">
            <v>2026-08</v>
          </cell>
        </row>
        <row r="2732">
          <cell r="G2732">
            <v>507263</v>
          </cell>
          <cell r="O2732" t="str">
            <v>2026-01</v>
          </cell>
        </row>
        <row r="2733">
          <cell r="G2733">
            <v>139333</v>
          </cell>
          <cell r="O2733" t="str">
            <v>2026-03</v>
          </cell>
        </row>
        <row r="2734">
          <cell r="G2734">
            <v>172758</v>
          </cell>
          <cell r="O2734" t="str">
            <v>2026-01</v>
          </cell>
        </row>
        <row r="2735">
          <cell r="G2735">
            <v>172760</v>
          </cell>
          <cell r="O2735" t="str">
            <v>2025-12</v>
          </cell>
        </row>
        <row r="2736">
          <cell r="G2736">
            <v>172763</v>
          </cell>
          <cell r="O2736" t="str">
            <v>2025-12</v>
          </cell>
        </row>
        <row r="2737">
          <cell r="G2737">
            <v>234884</v>
          </cell>
          <cell r="O2737" t="str">
            <v>2025-12</v>
          </cell>
        </row>
        <row r="2738">
          <cell r="G2738">
            <v>235958</v>
          </cell>
          <cell r="O2738" t="str">
            <v>2026-06</v>
          </cell>
        </row>
        <row r="2739">
          <cell r="G2739">
            <v>257305</v>
          </cell>
          <cell r="O2739" t="str">
            <v>2026-07</v>
          </cell>
        </row>
        <row r="2740">
          <cell r="G2740">
            <v>1300041093</v>
          </cell>
          <cell r="O2740" t="str">
            <v>2026-03</v>
          </cell>
        </row>
        <row r="2741">
          <cell r="G2741">
            <v>1300044292</v>
          </cell>
          <cell r="O2741" t="str">
            <v>2026-03</v>
          </cell>
        </row>
        <row r="2742">
          <cell r="G2742">
            <v>1300044381</v>
          </cell>
          <cell r="O2742" t="str">
            <v>2026-03</v>
          </cell>
        </row>
        <row r="2743">
          <cell r="G2743">
            <v>1300049736</v>
          </cell>
          <cell r="O2743" t="str">
            <v>2026-04</v>
          </cell>
        </row>
        <row r="2744">
          <cell r="G2744">
            <v>1300173825</v>
          </cell>
          <cell r="O2744" t="str">
            <v>2025-11</v>
          </cell>
        </row>
        <row r="2745">
          <cell r="G2745">
            <v>1300212535</v>
          </cell>
          <cell r="O2745" t="str">
            <v>2025-09</v>
          </cell>
        </row>
        <row r="2746">
          <cell r="G2746">
            <v>1300356735</v>
          </cell>
          <cell r="O2746" t="str">
            <v>2025-10</v>
          </cell>
        </row>
        <row r="2747">
          <cell r="G2747">
            <v>1300361785</v>
          </cell>
          <cell r="O2747" t="str">
            <v>2025-11</v>
          </cell>
        </row>
        <row r="2748">
          <cell r="G2748">
            <v>1300363638</v>
          </cell>
          <cell r="O2748" t="str">
            <v>2025-12</v>
          </cell>
        </row>
        <row r="2749">
          <cell r="G2749">
            <v>1300363641</v>
          </cell>
          <cell r="O2749" t="str">
            <v>2025-12</v>
          </cell>
        </row>
        <row r="2750">
          <cell r="G2750">
            <v>1300363645</v>
          </cell>
          <cell r="O2750" t="str">
            <v>2025-12</v>
          </cell>
        </row>
        <row r="2751">
          <cell r="G2751">
            <v>1300363649</v>
          </cell>
          <cell r="O2751" t="str">
            <v>2025-12</v>
          </cell>
        </row>
        <row r="2752">
          <cell r="G2752">
            <v>1300363664</v>
          </cell>
          <cell r="O2752" t="str">
            <v>2025-12</v>
          </cell>
        </row>
        <row r="2753">
          <cell r="G2753">
            <v>1300363668</v>
          </cell>
          <cell r="O2753" t="str">
            <v>2025-12</v>
          </cell>
        </row>
        <row r="2754">
          <cell r="G2754">
            <v>1300364536</v>
          </cell>
          <cell r="O2754" t="str">
            <v>2025-12</v>
          </cell>
        </row>
        <row r="2755">
          <cell r="G2755">
            <v>1300364851</v>
          </cell>
          <cell r="O2755" t="str">
            <v>2025-12</v>
          </cell>
        </row>
        <row r="2756">
          <cell r="G2756">
            <v>1300365290</v>
          </cell>
          <cell r="O2756" t="str">
            <v>2025-12</v>
          </cell>
        </row>
        <row r="2757">
          <cell r="G2757">
            <v>1300369041</v>
          </cell>
          <cell r="O2757" t="str">
            <v>2025-09</v>
          </cell>
        </row>
        <row r="2758">
          <cell r="G2758">
            <v>1300369042</v>
          </cell>
          <cell r="O2758" t="str">
            <v>2025-09</v>
          </cell>
        </row>
        <row r="2759">
          <cell r="G2759">
            <v>1300369302</v>
          </cell>
          <cell r="O2759" t="str">
            <v>2025-09</v>
          </cell>
        </row>
        <row r="2760">
          <cell r="G2760">
            <v>1300374121</v>
          </cell>
          <cell r="O2760" t="str">
            <v>2026-02</v>
          </cell>
        </row>
        <row r="2761">
          <cell r="G2761">
            <v>1300374260</v>
          </cell>
          <cell r="O2761" t="str">
            <v>2026-02</v>
          </cell>
        </row>
        <row r="2762">
          <cell r="G2762">
            <v>1300374530</v>
          </cell>
          <cell r="O2762" t="str">
            <v>2026-02</v>
          </cell>
        </row>
        <row r="2763">
          <cell r="G2763">
            <v>1300374568</v>
          </cell>
          <cell r="O2763" t="str">
            <v>2026-02</v>
          </cell>
        </row>
        <row r="2764">
          <cell r="G2764">
            <v>1300374882</v>
          </cell>
          <cell r="O2764" t="str">
            <v>2026-02</v>
          </cell>
        </row>
        <row r="2765">
          <cell r="G2765">
            <v>1300375062</v>
          </cell>
          <cell r="O2765" t="str">
            <v>2026-02</v>
          </cell>
        </row>
        <row r="2766">
          <cell r="G2766">
            <v>1300375294</v>
          </cell>
          <cell r="O2766" t="str">
            <v>2026-02</v>
          </cell>
        </row>
        <row r="2767">
          <cell r="G2767">
            <v>1300375548</v>
          </cell>
          <cell r="O2767" t="str">
            <v>2026-02</v>
          </cell>
        </row>
        <row r="2768">
          <cell r="G2768">
            <v>1300376784</v>
          </cell>
          <cell r="O2768" t="str">
            <v>2025-12</v>
          </cell>
        </row>
        <row r="2769">
          <cell r="G2769">
            <v>1300376886</v>
          </cell>
          <cell r="O2769" t="str">
            <v>2026-02</v>
          </cell>
        </row>
        <row r="2770">
          <cell r="G2770">
            <v>1300391328</v>
          </cell>
          <cell r="O2770" t="str">
            <v>2026-09</v>
          </cell>
        </row>
        <row r="2771">
          <cell r="G2771">
            <v>1300394983</v>
          </cell>
          <cell r="O2771" t="str">
            <v>2026-04</v>
          </cell>
        </row>
        <row r="2772">
          <cell r="G2772">
            <v>1300401814</v>
          </cell>
          <cell r="O2772" t="str">
            <v>2025-11</v>
          </cell>
        </row>
        <row r="2773">
          <cell r="G2773">
            <v>1300411382</v>
          </cell>
          <cell r="O2773" t="str">
            <v>2026-06</v>
          </cell>
        </row>
        <row r="2774">
          <cell r="G2774">
            <v>1300614495</v>
          </cell>
          <cell r="O2774" t="str">
            <v>2025-11</v>
          </cell>
        </row>
        <row r="2775">
          <cell r="G2775">
            <v>1300615764</v>
          </cell>
          <cell r="O2775" t="str">
            <v>2025-10</v>
          </cell>
        </row>
        <row r="2776">
          <cell r="G2776">
            <v>1300617281</v>
          </cell>
          <cell r="O2776" t="str">
            <v>2025-10</v>
          </cell>
        </row>
        <row r="2777">
          <cell r="G2777">
            <v>1300620053</v>
          </cell>
          <cell r="O2777" t="str">
            <v>2026-07</v>
          </cell>
        </row>
        <row r="2778">
          <cell r="G2778">
            <v>1300622237</v>
          </cell>
          <cell r="O2778" t="str">
            <v>2026-02</v>
          </cell>
        </row>
        <row r="2779">
          <cell r="G2779">
            <v>1300623124</v>
          </cell>
          <cell r="O2779" t="str">
            <v>2026-08</v>
          </cell>
        </row>
        <row r="2780">
          <cell r="G2780">
            <v>1300623325</v>
          </cell>
          <cell r="O2780" t="str">
            <v>2026-08</v>
          </cell>
        </row>
        <row r="2781">
          <cell r="G2781">
            <v>1300623395</v>
          </cell>
          <cell r="O2781" t="str">
            <v>2026-08</v>
          </cell>
        </row>
        <row r="2782">
          <cell r="G2782">
            <v>1300623548</v>
          </cell>
          <cell r="O2782" t="str">
            <v>2026-08</v>
          </cell>
        </row>
        <row r="2783">
          <cell r="G2783">
            <v>1300624185</v>
          </cell>
          <cell r="O2783" t="str">
            <v>2026-08</v>
          </cell>
        </row>
        <row r="2784">
          <cell r="G2784">
            <v>1300627934</v>
          </cell>
          <cell r="O2784" t="str">
            <v>2026-08</v>
          </cell>
        </row>
        <row r="2785">
          <cell r="G2785">
            <v>1300628996</v>
          </cell>
          <cell r="O2785" t="str">
            <v>2026-03</v>
          </cell>
        </row>
        <row r="2786">
          <cell r="G2786">
            <v>1300633219</v>
          </cell>
          <cell r="O2786" t="str">
            <v>2026-08</v>
          </cell>
        </row>
        <row r="2787">
          <cell r="G2787">
            <v>1300638170</v>
          </cell>
          <cell r="O2787" t="str">
            <v>2025-11</v>
          </cell>
        </row>
        <row r="2788">
          <cell r="G2788">
            <v>1300638450</v>
          </cell>
          <cell r="O2788" t="str">
            <v>2026-03</v>
          </cell>
        </row>
        <row r="2789">
          <cell r="G2789">
            <v>1300640347</v>
          </cell>
          <cell r="O2789" t="str">
            <v>2026-10</v>
          </cell>
        </row>
        <row r="2790">
          <cell r="G2790">
            <v>1300645488</v>
          </cell>
          <cell r="O2790" t="str">
            <v>2026-10</v>
          </cell>
        </row>
        <row r="2791">
          <cell r="G2791">
            <v>1300649027</v>
          </cell>
          <cell r="O2791" t="str">
            <v>2026-09</v>
          </cell>
        </row>
        <row r="2792">
          <cell r="G2792">
            <v>228658</v>
          </cell>
          <cell r="O2792" t="str">
            <v>2026-10</v>
          </cell>
        </row>
        <row r="2793">
          <cell r="G2793">
            <v>251980</v>
          </cell>
          <cell r="O2793" t="str">
            <v>2025-11</v>
          </cell>
        </row>
        <row r="2794">
          <cell r="G2794">
            <v>40897013</v>
          </cell>
          <cell r="O2794" t="str">
            <v>2026-01</v>
          </cell>
        </row>
        <row r="2795">
          <cell r="G2795">
            <v>44936720</v>
          </cell>
          <cell r="O2795" t="str">
            <v>2025-10</v>
          </cell>
        </row>
        <row r="2796">
          <cell r="G2796">
            <v>59194060</v>
          </cell>
          <cell r="O2796" t="str">
            <v>2026-06</v>
          </cell>
        </row>
        <row r="2797">
          <cell r="G2797">
            <v>65598970</v>
          </cell>
          <cell r="O2797" t="str">
            <v>2025-10</v>
          </cell>
        </row>
        <row r="2798">
          <cell r="G2798">
            <v>67253958</v>
          </cell>
          <cell r="O2798" t="str">
            <v>2026-03</v>
          </cell>
        </row>
        <row r="2799">
          <cell r="G2799">
            <v>67288158</v>
          </cell>
          <cell r="O2799" t="str">
            <v>2026-03</v>
          </cell>
        </row>
        <row r="2800">
          <cell r="G2800">
            <v>67288266</v>
          </cell>
          <cell r="O2800" t="str">
            <v>2026-03</v>
          </cell>
        </row>
        <row r="2801">
          <cell r="G2801">
            <v>67288323</v>
          </cell>
          <cell r="O2801" t="str">
            <v>2026-04</v>
          </cell>
        </row>
        <row r="2802">
          <cell r="G2802">
            <v>67289811</v>
          </cell>
          <cell r="O2802" t="str">
            <v>2026-03</v>
          </cell>
        </row>
        <row r="2803">
          <cell r="G2803">
            <v>80438902</v>
          </cell>
          <cell r="O2803" t="str">
            <v>2026-02</v>
          </cell>
        </row>
        <row r="2804">
          <cell r="G2804">
            <v>80596876</v>
          </cell>
          <cell r="O2804" t="str">
            <v>2025-11</v>
          </cell>
        </row>
        <row r="2805">
          <cell r="G2805">
            <v>93965515</v>
          </cell>
          <cell r="O2805" t="str">
            <v>2025-11</v>
          </cell>
        </row>
        <row r="2806">
          <cell r="G2806">
            <v>94445894</v>
          </cell>
          <cell r="O2806" t="str">
            <v>2025-11</v>
          </cell>
        </row>
        <row r="2807">
          <cell r="G2807">
            <v>94616743</v>
          </cell>
          <cell r="O2807" t="str">
            <v>2026-03</v>
          </cell>
        </row>
        <row r="2808">
          <cell r="G2808">
            <v>95919942</v>
          </cell>
          <cell r="O2808" t="str">
            <v>2026-06</v>
          </cell>
        </row>
        <row r="2809">
          <cell r="G2809">
            <v>244127</v>
          </cell>
          <cell r="O2809" t="str">
            <v>2026-06</v>
          </cell>
        </row>
        <row r="2810">
          <cell r="G2810">
            <v>264667</v>
          </cell>
          <cell r="O2810" t="str">
            <v>2026-10</v>
          </cell>
        </row>
        <row r="2811">
          <cell r="G2811">
            <v>1300184191</v>
          </cell>
          <cell r="O2811" t="str">
            <v>2025-10</v>
          </cell>
        </row>
        <row r="2812">
          <cell r="G2812">
            <v>1300184720</v>
          </cell>
          <cell r="O2812" t="str">
            <v>2026-03</v>
          </cell>
        </row>
        <row r="2813">
          <cell r="G2813">
            <v>1300238513</v>
          </cell>
          <cell r="O2813" t="str">
            <v>2026-02</v>
          </cell>
        </row>
        <row r="2814">
          <cell r="G2814">
            <v>44388612</v>
          </cell>
          <cell r="O2814" t="str">
            <v>2026-10</v>
          </cell>
        </row>
        <row r="2815">
          <cell r="G2815">
            <v>44936820</v>
          </cell>
          <cell r="O2815" t="str">
            <v>2026-06</v>
          </cell>
        </row>
        <row r="2816">
          <cell r="G2816">
            <v>59194118</v>
          </cell>
          <cell r="O2816" t="str">
            <v>2026-06</v>
          </cell>
        </row>
        <row r="2817">
          <cell r="G2817">
            <v>95920004</v>
          </cell>
          <cell r="O2817" t="str">
            <v>2026-06</v>
          </cell>
        </row>
        <row r="2818">
          <cell r="G2818">
            <v>16767488</v>
          </cell>
          <cell r="O2818" t="str">
            <v>2026-06</v>
          </cell>
        </row>
        <row r="2819">
          <cell r="G2819">
            <v>100108</v>
          </cell>
          <cell r="O2819" t="str">
            <v>2026-11</v>
          </cell>
        </row>
        <row r="2820">
          <cell r="G2820">
            <v>100538</v>
          </cell>
          <cell r="O2820" t="str">
            <v>2026-01</v>
          </cell>
        </row>
        <row r="2821">
          <cell r="G2821">
            <v>101045</v>
          </cell>
          <cell r="O2821" t="str">
            <v>2026-01</v>
          </cell>
        </row>
        <row r="2822">
          <cell r="G2822">
            <v>101748</v>
          </cell>
          <cell r="O2822" t="str">
            <v>2026-02</v>
          </cell>
        </row>
        <row r="2823">
          <cell r="G2823">
            <v>101890</v>
          </cell>
          <cell r="O2823" t="str">
            <v>2026-07</v>
          </cell>
        </row>
        <row r="2824">
          <cell r="G2824">
            <v>102050</v>
          </cell>
          <cell r="O2824" t="str">
            <v>2026-02</v>
          </cell>
        </row>
        <row r="2825">
          <cell r="G2825">
            <v>105347</v>
          </cell>
          <cell r="O2825" t="str">
            <v>2026-08</v>
          </cell>
        </row>
        <row r="2826">
          <cell r="G2826">
            <v>105360</v>
          </cell>
          <cell r="O2826" t="str">
            <v>2026-08</v>
          </cell>
        </row>
        <row r="2827">
          <cell r="G2827">
            <v>15959</v>
          </cell>
          <cell r="O2827" t="str">
            <v>2026-06</v>
          </cell>
        </row>
        <row r="2828">
          <cell r="G2828">
            <v>4004004291</v>
          </cell>
          <cell r="O2828" t="str">
            <v>2026-09</v>
          </cell>
        </row>
        <row r="2829">
          <cell r="G2829">
            <v>44125</v>
          </cell>
          <cell r="O2829" t="str">
            <v>2026-07</v>
          </cell>
        </row>
        <row r="2830">
          <cell r="G2830">
            <v>55748</v>
          </cell>
          <cell r="O2830" t="str">
            <v>2026-04</v>
          </cell>
        </row>
        <row r="2831">
          <cell r="G2831">
            <v>64562</v>
          </cell>
          <cell r="O2831" t="str">
            <v>2026-06</v>
          </cell>
        </row>
        <row r="2832">
          <cell r="G2832">
            <v>64768</v>
          </cell>
          <cell r="O2832" t="str">
            <v>2026-11</v>
          </cell>
        </row>
        <row r="2833">
          <cell r="G2833">
            <v>66835</v>
          </cell>
          <cell r="O2833" t="str">
            <v>2026-05</v>
          </cell>
        </row>
        <row r="2834">
          <cell r="G2834">
            <v>67615</v>
          </cell>
          <cell r="O2834" t="str">
            <v>2026-09</v>
          </cell>
        </row>
        <row r="2835">
          <cell r="G2835">
            <v>68178</v>
          </cell>
          <cell r="O2835" t="str">
            <v>2026-11</v>
          </cell>
        </row>
        <row r="2836">
          <cell r="G2836">
            <v>69523</v>
          </cell>
          <cell r="O2836" t="str">
            <v>2026-02</v>
          </cell>
        </row>
        <row r="2837">
          <cell r="G2837">
            <v>69741</v>
          </cell>
          <cell r="O2837" t="str">
            <v>2026-02</v>
          </cell>
        </row>
        <row r="2838">
          <cell r="G2838">
            <v>70152</v>
          </cell>
          <cell r="O2838" t="str">
            <v>2026-04</v>
          </cell>
        </row>
        <row r="2839">
          <cell r="G2839">
            <v>71272</v>
          </cell>
          <cell r="O2839" t="str">
            <v>2026-05</v>
          </cell>
        </row>
        <row r="2840">
          <cell r="G2840">
            <v>71540</v>
          </cell>
          <cell r="O2840" t="str">
            <v>2026-06</v>
          </cell>
        </row>
        <row r="2841">
          <cell r="G2841">
            <v>71892</v>
          </cell>
          <cell r="O2841" t="str">
            <v>2026-05</v>
          </cell>
        </row>
        <row r="2842">
          <cell r="G2842">
            <v>72116</v>
          </cell>
          <cell r="O2842" t="str">
            <v>2026-06</v>
          </cell>
        </row>
        <row r="2843">
          <cell r="G2843">
            <v>73670</v>
          </cell>
          <cell r="O2843" t="str">
            <v>2026-09</v>
          </cell>
        </row>
        <row r="2844">
          <cell r="G2844">
            <v>73745</v>
          </cell>
          <cell r="O2844" t="str">
            <v>2026-10</v>
          </cell>
        </row>
        <row r="2845">
          <cell r="G2845">
            <v>74512</v>
          </cell>
          <cell r="O2845" t="str">
            <v>2026-11</v>
          </cell>
        </row>
        <row r="2846">
          <cell r="G2846">
            <v>76561</v>
          </cell>
          <cell r="O2846" t="str">
            <v>2026-04</v>
          </cell>
        </row>
        <row r="2847">
          <cell r="G2847">
            <v>79146</v>
          </cell>
          <cell r="O2847" t="str">
            <v>2026-07</v>
          </cell>
        </row>
        <row r="2848">
          <cell r="G2848">
            <v>79179</v>
          </cell>
          <cell r="O2848" t="str">
            <v>2026-07</v>
          </cell>
        </row>
        <row r="2849">
          <cell r="G2849">
            <v>79358</v>
          </cell>
          <cell r="O2849" t="str">
            <v>2026-07</v>
          </cell>
        </row>
        <row r="2850">
          <cell r="G2850">
            <v>80298</v>
          </cell>
          <cell r="O2850" t="str">
            <v>2026-09</v>
          </cell>
        </row>
        <row r="2851">
          <cell r="G2851">
            <v>80715</v>
          </cell>
          <cell r="O2851" t="str">
            <v>2026-10</v>
          </cell>
        </row>
        <row r="2852">
          <cell r="G2852">
            <v>80745</v>
          </cell>
          <cell r="O2852" t="str">
            <v>2026-10</v>
          </cell>
        </row>
        <row r="2853">
          <cell r="G2853">
            <v>84117</v>
          </cell>
          <cell r="O2853" t="str">
            <v>2026-06</v>
          </cell>
        </row>
        <row r="2854">
          <cell r="G2854">
            <v>86533</v>
          </cell>
          <cell r="O2854" t="str">
            <v>2026-10</v>
          </cell>
        </row>
        <row r="2855">
          <cell r="G2855">
            <v>90574</v>
          </cell>
          <cell r="O2855" t="str">
            <v>2026-06</v>
          </cell>
        </row>
        <row r="2856">
          <cell r="G2856">
            <v>91686</v>
          </cell>
          <cell r="O2856" t="str">
            <v>2026-09</v>
          </cell>
        </row>
        <row r="2857">
          <cell r="G2857">
            <v>91801</v>
          </cell>
          <cell r="O2857" t="str">
            <v>2026-09</v>
          </cell>
        </row>
        <row r="2858">
          <cell r="G2858">
            <v>95069</v>
          </cell>
          <cell r="O2858" t="str">
            <v>2026-02</v>
          </cell>
        </row>
        <row r="2859">
          <cell r="G2859">
            <v>95958</v>
          </cell>
          <cell r="O2859" t="str">
            <v>2026-04</v>
          </cell>
        </row>
        <row r="2860">
          <cell r="G2860">
            <v>98170</v>
          </cell>
          <cell r="O2860" t="str">
            <v>2026-03</v>
          </cell>
        </row>
        <row r="2861">
          <cell r="G2861">
            <v>98739</v>
          </cell>
          <cell r="O2861" t="str">
            <v>2026-09</v>
          </cell>
        </row>
        <row r="2862">
          <cell r="G2862">
            <v>98895</v>
          </cell>
          <cell r="O2862" t="str">
            <v>2026-09</v>
          </cell>
        </row>
        <row r="2863">
          <cell r="G2863">
            <v>98960</v>
          </cell>
          <cell r="O2863" t="str">
            <v>2026-09</v>
          </cell>
        </row>
        <row r="2864">
          <cell r="G2864">
            <v>10896</v>
          </cell>
          <cell r="O2864" t="str">
            <v>2026-10</v>
          </cell>
        </row>
        <row r="2865">
          <cell r="G2865">
            <v>12119</v>
          </cell>
          <cell r="O2865" t="str">
            <v>2026-06</v>
          </cell>
        </row>
        <row r="2866">
          <cell r="G2866">
            <v>12206</v>
          </cell>
          <cell r="O2866" t="str">
            <v>2026-07</v>
          </cell>
        </row>
        <row r="2867">
          <cell r="G2867">
            <v>3659</v>
          </cell>
          <cell r="O2867" t="str">
            <v>2026-07</v>
          </cell>
        </row>
        <row r="2868">
          <cell r="G2868">
            <v>4664</v>
          </cell>
          <cell r="O2868" t="str">
            <v>2026-02</v>
          </cell>
        </row>
        <row r="2869">
          <cell r="G2869">
            <v>4667</v>
          </cell>
          <cell r="O2869" t="str">
            <v>2026-01</v>
          </cell>
        </row>
        <row r="2870">
          <cell r="G2870">
            <v>4832</v>
          </cell>
          <cell r="O2870" t="str">
            <v>2026-06</v>
          </cell>
        </row>
        <row r="2871">
          <cell r="G2871">
            <v>4969</v>
          </cell>
          <cell r="O2871" t="str">
            <v>2026-09</v>
          </cell>
        </row>
        <row r="2872">
          <cell r="G2872">
            <v>5184</v>
          </cell>
          <cell r="O2872" t="str">
            <v>2026-02</v>
          </cell>
        </row>
        <row r="2873">
          <cell r="G2873">
            <v>7047</v>
          </cell>
          <cell r="O2873" t="str">
            <v>2026-05</v>
          </cell>
        </row>
        <row r="2874">
          <cell r="G2874">
            <v>7432</v>
          </cell>
          <cell r="O2874" t="str">
            <v>2026-10</v>
          </cell>
        </row>
        <row r="2875">
          <cell r="G2875">
            <v>8855</v>
          </cell>
          <cell r="O2875" t="str">
            <v>2026-08</v>
          </cell>
        </row>
        <row r="2876">
          <cell r="G2876">
            <v>8936</v>
          </cell>
          <cell r="O2876" t="str">
            <v>2026-10</v>
          </cell>
        </row>
        <row r="2877">
          <cell r="G2877">
            <v>9632</v>
          </cell>
          <cell r="O2877" t="str">
            <v>2026-02</v>
          </cell>
        </row>
        <row r="2878">
          <cell r="G2878">
            <v>13482</v>
          </cell>
          <cell r="O2878" t="str">
            <v>2026-04</v>
          </cell>
        </row>
        <row r="2879">
          <cell r="G2879">
            <v>38832</v>
          </cell>
          <cell r="O2879" t="str">
            <v>2026-09</v>
          </cell>
        </row>
        <row r="2880">
          <cell r="G2880">
            <v>4011000108</v>
          </cell>
          <cell r="O2880" t="str">
            <v>2026-10</v>
          </cell>
        </row>
        <row r="2881">
          <cell r="G2881">
            <v>4011002161</v>
          </cell>
          <cell r="O2881" t="str">
            <v>2026-06</v>
          </cell>
        </row>
        <row r="2882">
          <cell r="G2882">
            <v>44056</v>
          </cell>
          <cell r="O2882" t="str">
            <v>2026-10</v>
          </cell>
        </row>
        <row r="2883">
          <cell r="G2883">
            <v>46625</v>
          </cell>
          <cell r="O2883" t="str">
            <v>2026-10</v>
          </cell>
        </row>
        <row r="2884">
          <cell r="G2884">
            <v>47141</v>
          </cell>
          <cell r="O2884" t="str">
            <v>2026-02</v>
          </cell>
        </row>
        <row r="2885">
          <cell r="G2885">
            <v>47444</v>
          </cell>
          <cell r="O2885" t="str">
            <v>2026-05</v>
          </cell>
        </row>
        <row r="2886">
          <cell r="G2886">
            <v>47982</v>
          </cell>
          <cell r="O2886" t="str">
            <v>2026-10</v>
          </cell>
        </row>
        <row r="2887">
          <cell r="G2887">
            <v>48909</v>
          </cell>
          <cell r="O2887" t="str">
            <v>2026-04</v>
          </cell>
        </row>
        <row r="2888">
          <cell r="G2888">
            <v>49303</v>
          </cell>
          <cell r="O2888" t="str">
            <v>2026-08</v>
          </cell>
        </row>
        <row r="2889">
          <cell r="G2889">
            <v>50098</v>
          </cell>
          <cell r="O2889" t="str">
            <v>2026-02</v>
          </cell>
        </row>
        <row r="2890">
          <cell r="G2890">
            <v>50278</v>
          </cell>
          <cell r="O2890" t="str">
            <v>2026-04</v>
          </cell>
        </row>
        <row r="2891">
          <cell r="G2891">
            <v>50846</v>
          </cell>
          <cell r="O2891" t="str">
            <v>2026-09</v>
          </cell>
        </row>
        <row r="2892">
          <cell r="G2892">
            <v>50994</v>
          </cell>
          <cell r="O2892" t="str">
            <v>2026-11</v>
          </cell>
        </row>
        <row r="2893">
          <cell r="G2893">
            <v>51101</v>
          </cell>
          <cell r="O2893" t="str">
            <v>2026-10</v>
          </cell>
        </row>
        <row r="2894">
          <cell r="G2894">
            <v>51350</v>
          </cell>
          <cell r="O2894" t="str">
            <v>2026-02</v>
          </cell>
        </row>
        <row r="2895">
          <cell r="G2895">
            <v>51400</v>
          </cell>
          <cell r="O2895" t="str">
            <v>2026-02</v>
          </cell>
        </row>
        <row r="2896">
          <cell r="G2896">
            <v>51407</v>
          </cell>
          <cell r="O2896" t="str">
            <v>2026-02</v>
          </cell>
        </row>
        <row r="2897">
          <cell r="G2897">
            <v>52017</v>
          </cell>
          <cell r="O2897" t="str">
            <v>2026-08</v>
          </cell>
        </row>
        <row r="2898">
          <cell r="G2898">
            <v>52205</v>
          </cell>
          <cell r="O2898" t="str">
            <v>2026-08</v>
          </cell>
        </row>
        <row r="2899">
          <cell r="G2899">
            <v>52226</v>
          </cell>
          <cell r="O2899" t="str">
            <v>2026-10</v>
          </cell>
        </row>
        <row r="2900">
          <cell r="G2900">
            <v>52231</v>
          </cell>
          <cell r="O2900" t="str">
            <v>2026-09</v>
          </cell>
        </row>
        <row r="2901">
          <cell r="G2901">
            <v>52285</v>
          </cell>
          <cell r="O2901" t="str">
            <v>2026-09</v>
          </cell>
        </row>
        <row r="2902">
          <cell r="G2902">
            <v>52341</v>
          </cell>
          <cell r="O2902" t="str">
            <v>2026-10</v>
          </cell>
        </row>
        <row r="2903">
          <cell r="G2903">
            <v>52880</v>
          </cell>
          <cell r="O2903" t="str">
            <v>2026-03</v>
          </cell>
        </row>
        <row r="2904">
          <cell r="G2904">
            <v>53567</v>
          </cell>
          <cell r="O2904" t="str">
            <v>2026-11</v>
          </cell>
        </row>
        <row r="2905">
          <cell r="G2905">
            <v>53653</v>
          </cell>
          <cell r="O2905" t="str">
            <v>2025-12</v>
          </cell>
        </row>
        <row r="2906">
          <cell r="G2906">
            <v>53657</v>
          </cell>
          <cell r="O2906" t="str">
            <v>2025-11</v>
          </cell>
        </row>
        <row r="2907">
          <cell r="G2907">
            <v>53662</v>
          </cell>
          <cell r="O2907" t="str">
            <v>2025-11</v>
          </cell>
        </row>
        <row r="2908">
          <cell r="G2908">
            <v>53775</v>
          </cell>
          <cell r="O2908" t="str">
            <v>2026-01</v>
          </cell>
        </row>
        <row r="2909">
          <cell r="G2909">
            <v>53776</v>
          </cell>
          <cell r="O2909" t="str">
            <v>2026-01</v>
          </cell>
        </row>
        <row r="2910">
          <cell r="G2910">
            <v>53777</v>
          </cell>
          <cell r="O2910" t="str">
            <v>2026-01</v>
          </cell>
        </row>
        <row r="2911">
          <cell r="G2911">
            <v>53778</v>
          </cell>
          <cell r="O2911" t="str">
            <v>2026-01</v>
          </cell>
        </row>
        <row r="2912">
          <cell r="G2912">
            <v>53783</v>
          </cell>
          <cell r="O2912" t="str">
            <v>2026-01</v>
          </cell>
        </row>
        <row r="2913">
          <cell r="G2913">
            <v>53924</v>
          </cell>
          <cell r="O2913" t="str">
            <v>2026-02</v>
          </cell>
        </row>
        <row r="2914">
          <cell r="G2914">
            <v>54020</v>
          </cell>
          <cell r="O2914" t="str">
            <v>2026-03</v>
          </cell>
        </row>
        <row r="2915">
          <cell r="G2915">
            <v>54145</v>
          </cell>
          <cell r="O2915" t="str">
            <v>2026-04</v>
          </cell>
        </row>
        <row r="2916">
          <cell r="G2916">
            <v>54219</v>
          </cell>
          <cell r="O2916" t="str">
            <v>2026-03</v>
          </cell>
        </row>
        <row r="2917">
          <cell r="G2917">
            <v>54293</v>
          </cell>
          <cell r="O2917" t="str">
            <v>2026-09</v>
          </cell>
        </row>
        <row r="2918">
          <cell r="G2918">
            <v>54305</v>
          </cell>
          <cell r="O2918" t="str">
            <v>2026-09</v>
          </cell>
        </row>
        <row r="2919">
          <cell r="G2919">
            <v>54307</v>
          </cell>
          <cell r="O2919" t="str">
            <v>2026-09</v>
          </cell>
        </row>
        <row r="2920">
          <cell r="G2920">
            <v>54317</v>
          </cell>
          <cell r="O2920" t="str">
            <v>2026-09</v>
          </cell>
        </row>
        <row r="2921">
          <cell r="G2921">
            <v>54357</v>
          </cell>
          <cell r="O2921" t="str">
            <v>2026-06</v>
          </cell>
        </row>
        <row r="2922">
          <cell r="G2922">
            <v>54366</v>
          </cell>
          <cell r="O2922" t="str">
            <v>2026-01</v>
          </cell>
        </row>
        <row r="2923">
          <cell r="G2923">
            <v>54488</v>
          </cell>
          <cell r="O2923" t="str">
            <v>2026-07</v>
          </cell>
        </row>
        <row r="2924">
          <cell r="G2924">
            <v>54590</v>
          </cell>
          <cell r="O2924" t="str">
            <v>2026-09</v>
          </cell>
        </row>
        <row r="2925">
          <cell r="G2925">
            <v>54605</v>
          </cell>
          <cell r="O2925" t="str">
            <v>2026-09</v>
          </cell>
        </row>
        <row r="2926">
          <cell r="G2926">
            <v>54606</v>
          </cell>
          <cell r="O2926" t="str">
            <v>2026-10</v>
          </cell>
        </row>
        <row r="2927">
          <cell r="G2927">
            <v>54608</v>
          </cell>
          <cell r="O2927" t="str">
            <v>2026-09</v>
          </cell>
        </row>
        <row r="2928">
          <cell r="G2928">
            <v>54610</v>
          </cell>
          <cell r="O2928" t="str">
            <v>2026-10</v>
          </cell>
        </row>
        <row r="2929">
          <cell r="G2929">
            <v>54624</v>
          </cell>
          <cell r="O2929" t="str">
            <v>2026-09</v>
          </cell>
        </row>
        <row r="2930">
          <cell r="G2930">
            <v>54626</v>
          </cell>
          <cell r="O2930" t="str">
            <v>2026-09</v>
          </cell>
        </row>
        <row r="2931">
          <cell r="G2931">
            <v>54649</v>
          </cell>
          <cell r="O2931" t="str">
            <v>2026-09</v>
          </cell>
        </row>
        <row r="2932">
          <cell r="G2932">
            <v>54654</v>
          </cell>
          <cell r="O2932" t="str">
            <v>2026-09</v>
          </cell>
        </row>
        <row r="2933">
          <cell r="G2933">
            <v>54674</v>
          </cell>
          <cell r="O2933" t="str">
            <v>2026-10</v>
          </cell>
        </row>
        <row r="2934">
          <cell r="G2934">
            <v>17931</v>
          </cell>
          <cell r="O2934" t="str">
            <v>2026-02</v>
          </cell>
        </row>
        <row r="2935">
          <cell r="G2935">
            <v>21504</v>
          </cell>
          <cell r="O2935" t="str">
            <v>2026-02</v>
          </cell>
        </row>
        <row r="2936">
          <cell r="G2936">
            <v>21547</v>
          </cell>
          <cell r="O2936" t="str">
            <v>2026-01</v>
          </cell>
        </row>
        <row r="2937">
          <cell r="G2937">
            <v>37735</v>
          </cell>
          <cell r="O2937" t="str">
            <v>2026-05</v>
          </cell>
        </row>
        <row r="2938">
          <cell r="G2938">
            <v>39823</v>
          </cell>
          <cell r="O2938" t="str">
            <v>2026-06</v>
          </cell>
        </row>
        <row r="2939">
          <cell r="G2939">
            <v>40022</v>
          </cell>
          <cell r="O2939" t="str">
            <v>2026-09</v>
          </cell>
        </row>
        <row r="2940">
          <cell r="G2940">
            <v>4012000431</v>
          </cell>
          <cell r="O2940" t="str">
            <v>2026-11</v>
          </cell>
        </row>
        <row r="2941">
          <cell r="G2941">
            <v>4012000455</v>
          </cell>
          <cell r="O2941" t="str">
            <v>2026-11</v>
          </cell>
        </row>
        <row r="2942">
          <cell r="G2942">
            <v>4012001816</v>
          </cell>
          <cell r="O2942" t="str">
            <v>2026-06</v>
          </cell>
        </row>
        <row r="2943">
          <cell r="G2943">
            <v>41296</v>
          </cell>
          <cell r="O2943" t="str">
            <v>2026-02</v>
          </cell>
        </row>
        <row r="2944">
          <cell r="G2944">
            <v>43518</v>
          </cell>
          <cell r="O2944" t="str">
            <v>2026-06</v>
          </cell>
        </row>
        <row r="2945">
          <cell r="G2945">
            <v>43899</v>
          </cell>
          <cell r="O2945" t="str">
            <v>2026-03</v>
          </cell>
        </row>
        <row r="2946">
          <cell r="G2946">
            <v>44349</v>
          </cell>
          <cell r="O2946" t="str">
            <v>2026-01</v>
          </cell>
        </row>
        <row r="2947">
          <cell r="G2947">
            <v>45080</v>
          </cell>
          <cell r="O2947" t="str">
            <v>2026-05</v>
          </cell>
        </row>
        <row r="2948">
          <cell r="G2948">
            <v>4049</v>
          </cell>
          <cell r="O2948" t="str">
            <v>2026-09</v>
          </cell>
        </row>
        <row r="2949">
          <cell r="G2949">
            <v>29547</v>
          </cell>
          <cell r="O2949" t="str">
            <v>2026-01</v>
          </cell>
        </row>
        <row r="2950">
          <cell r="G2950">
            <v>31701</v>
          </cell>
          <cell r="O2950" t="str">
            <v>2026-05</v>
          </cell>
        </row>
        <row r="2951">
          <cell r="G2951">
            <v>35522</v>
          </cell>
          <cell r="O2951" t="str">
            <v>2026-05</v>
          </cell>
        </row>
        <row r="2952">
          <cell r="G2952">
            <v>36051</v>
          </cell>
          <cell r="O2952" t="str">
            <v>2026-06</v>
          </cell>
        </row>
        <row r="2953">
          <cell r="G2953">
            <v>36481</v>
          </cell>
          <cell r="O2953" t="str">
            <v>2026-07</v>
          </cell>
        </row>
        <row r="2954">
          <cell r="G2954">
            <v>37291</v>
          </cell>
          <cell r="O2954" t="str">
            <v>2026-10</v>
          </cell>
        </row>
        <row r="2955">
          <cell r="G2955">
            <v>37313</v>
          </cell>
          <cell r="O2955" t="str">
            <v>2026-10</v>
          </cell>
        </row>
        <row r="2956">
          <cell r="G2956">
            <v>39658</v>
          </cell>
          <cell r="O2956" t="str">
            <v>2026-02</v>
          </cell>
        </row>
        <row r="2957">
          <cell r="G2957">
            <v>41525</v>
          </cell>
          <cell r="O2957" t="str">
            <v>2026-04</v>
          </cell>
        </row>
        <row r="2958">
          <cell r="G2958">
            <v>51354</v>
          </cell>
          <cell r="O2958" t="str">
            <v>2026-02</v>
          </cell>
        </row>
        <row r="2959">
          <cell r="G2959">
            <v>53310</v>
          </cell>
          <cell r="O2959" t="str">
            <v>2026-05</v>
          </cell>
        </row>
        <row r="2960">
          <cell r="G2960">
            <v>59171</v>
          </cell>
          <cell r="O2960" t="str">
            <v>2026-01</v>
          </cell>
        </row>
        <row r="2961">
          <cell r="G2961">
            <v>61423</v>
          </cell>
          <cell r="O2961" t="str">
            <v>2026-05</v>
          </cell>
        </row>
        <row r="2962">
          <cell r="G2962">
            <v>61443</v>
          </cell>
          <cell r="O2962" t="str">
            <v>2026-05</v>
          </cell>
        </row>
        <row r="2963">
          <cell r="G2963">
            <v>61795</v>
          </cell>
          <cell r="O2963" t="str">
            <v>2026-05</v>
          </cell>
        </row>
        <row r="2964">
          <cell r="G2964">
            <v>64442</v>
          </cell>
          <cell r="O2964" t="str">
            <v>2026-09</v>
          </cell>
        </row>
        <row r="2965">
          <cell r="G2965">
            <v>67765</v>
          </cell>
          <cell r="O2965" t="str">
            <v>2026-01</v>
          </cell>
        </row>
        <row r="2966">
          <cell r="G2966">
            <v>69196</v>
          </cell>
          <cell r="O2966" t="str">
            <v>2026-05</v>
          </cell>
        </row>
        <row r="2967">
          <cell r="G2967">
            <v>69328</v>
          </cell>
          <cell r="O2967" t="str">
            <v>2026-04</v>
          </cell>
        </row>
        <row r="2968">
          <cell r="G2968">
            <v>69329</v>
          </cell>
          <cell r="O2968" t="str">
            <v>2026-04</v>
          </cell>
        </row>
        <row r="2969">
          <cell r="G2969">
            <v>69976</v>
          </cell>
          <cell r="O2969" t="str">
            <v>2026-06</v>
          </cell>
        </row>
        <row r="2970">
          <cell r="G2970">
            <v>71093</v>
          </cell>
          <cell r="O2970" t="str">
            <v>2026-09</v>
          </cell>
        </row>
        <row r="2971">
          <cell r="G2971">
            <v>73140</v>
          </cell>
          <cell r="O2971" t="str">
            <v>2026-03</v>
          </cell>
        </row>
        <row r="2972">
          <cell r="G2972">
            <v>74518</v>
          </cell>
          <cell r="O2972" t="str">
            <v>2026-04</v>
          </cell>
        </row>
        <row r="2973">
          <cell r="G2973">
            <v>74959</v>
          </cell>
          <cell r="O2973" t="str">
            <v>2026-07</v>
          </cell>
        </row>
        <row r="2974">
          <cell r="G2974">
            <v>75504</v>
          </cell>
          <cell r="O2974" t="str">
            <v>2026-08</v>
          </cell>
        </row>
        <row r="2975">
          <cell r="G2975">
            <v>75617</v>
          </cell>
          <cell r="O2975" t="str">
            <v>2026-08</v>
          </cell>
        </row>
        <row r="2976">
          <cell r="G2976">
            <v>76097</v>
          </cell>
          <cell r="O2976" t="str">
            <v>2026-10</v>
          </cell>
        </row>
        <row r="2977">
          <cell r="G2977">
            <v>39766</v>
          </cell>
          <cell r="O2977" t="str">
            <v>2026-05</v>
          </cell>
        </row>
        <row r="2978">
          <cell r="G2978">
            <v>45693</v>
          </cell>
          <cell r="O2978" t="str">
            <v>2026-09</v>
          </cell>
        </row>
        <row r="2979">
          <cell r="G2979">
            <v>48631</v>
          </cell>
          <cell r="O2979" t="str">
            <v>2026-05</v>
          </cell>
        </row>
        <row r="2980">
          <cell r="G2980">
            <v>13131</v>
          </cell>
          <cell r="O2980" t="str">
            <v>2026-02</v>
          </cell>
        </row>
        <row r="2981">
          <cell r="G2981">
            <v>13133</v>
          </cell>
          <cell r="O2981" t="str">
            <v>2026-02</v>
          </cell>
        </row>
        <row r="2982">
          <cell r="G2982">
            <v>14749</v>
          </cell>
          <cell r="O2982" t="str">
            <v>2026-04</v>
          </cell>
        </row>
        <row r="2983">
          <cell r="G2983">
            <v>15121</v>
          </cell>
          <cell r="O2983" t="str">
            <v>2026-02</v>
          </cell>
        </row>
        <row r="2984">
          <cell r="G2984">
            <v>15888</v>
          </cell>
          <cell r="O2984" t="str">
            <v>2026-09</v>
          </cell>
        </row>
        <row r="2985">
          <cell r="G2985">
            <v>15889</v>
          </cell>
          <cell r="O2985" t="str">
            <v>2026-09</v>
          </cell>
        </row>
        <row r="2986">
          <cell r="G2986">
            <v>15890</v>
          </cell>
          <cell r="O2986" t="str">
            <v>2026-09</v>
          </cell>
        </row>
        <row r="2987">
          <cell r="G2987">
            <v>15892</v>
          </cell>
          <cell r="O2987" t="str">
            <v>2026-09</v>
          </cell>
        </row>
        <row r="2988">
          <cell r="G2988">
            <v>2780</v>
          </cell>
          <cell r="O2988" t="str">
            <v>2026-04</v>
          </cell>
        </row>
        <row r="2989">
          <cell r="G2989">
            <v>25652</v>
          </cell>
          <cell r="O2989" t="str">
            <v>2026-06</v>
          </cell>
        </row>
        <row r="2990">
          <cell r="G2990">
            <v>30507</v>
          </cell>
          <cell r="O2990" t="str">
            <v>2026-03</v>
          </cell>
        </row>
        <row r="2991">
          <cell r="G2991">
            <v>505122</v>
          </cell>
          <cell r="O2991" t="str">
            <v>2026-03</v>
          </cell>
        </row>
        <row r="2992">
          <cell r="G2992">
            <v>506508</v>
          </cell>
          <cell r="O2992" t="str">
            <v>2026-06</v>
          </cell>
        </row>
        <row r="2993">
          <cell r="G2993">
            <v>508501</v>
          </cell>
          <cell r="O2993" t="str">
            <v>2026-03</v>
          </cell>
        </row>
        <row r="2994">
          <cell r="G2994">
            <v>510314</v>
          </cell>
          <cell r="O2994" t="str">
            <v>2026-04</v>
          </cell>
        </row>
        <row r="2995">
          <cell r="G2995">
            <v>510777</v>
          </cell>
          <cell r="O2995" t="str">
            <v>2026-06</v>
          </cell>
        </row>
        <row r="2996">
          <cell r="G2996">
            <v>511186</v>
          </cell>
          <cell r="O2996" t="str">
            <v>2026-08</v>
          </cell>
        </row>
        <row r="2997">
          <cell r="G2997">
            <v>511187</v>
          </cell>
          <cell r="O2997" t="str">
            <v>2026-08</v>
          </cell>
        </row>
        <row r="2998">
          <cell r="G2998">
            <v>512499</v>
          </cell>
          <cell r="O2998" t="str">
            <v>2026-05</v>
          </cell>
        </row>
        <row r="2999">
          <cell r="G2999">
            <v>512687</v>
          </cell>
          <cell r="O2999" t="str">
            <v>2026-10</v>
          </cell>
        </row>
        <row r="3000">
          <cell r="G3000">
            <v>517753</v>
          </cell>
          <cell r="O3000" t="str">
            <v>2026-07</v>
          </cell>
        </row>
        <row r="3001">
          <cell r="G3001">
            <v>520443</v>
          </cell>
          <cell r="O3001" t="str">
            <v>2026-07</v>
          </cell>
        </row>
        <row r="3002">
          <cell r="G3002">
            <v>527422</v>
          </cell>
          <cell r="O3002" t="str">
            <v>2026-08</v>
          </cell>
        </row>
        <row r="3003">
          <cell r="G3003">
            <v>528419</v>
          </cell>
          <cell r="O3003" t="str">
            <v>2026-09</v>
          </cell>
        </row>
        <row r="3004">
          <cell r="G3004">
            <v>532324</v>
          </cell>
          <cell r="O3004" t="str">
            <v>2026-03</v>
          </cell>
        </row>
        <row r="3005">
          <cell r="G3005">
            <v>532351</v>
          </cell>
          <cell r="O3005" t="str">
            <v>2026-03</v>
          </cell>
        </row>
        <row r="3006">
          <cell r="G3006">
            <v>1037472</v>
          </cell>
          <cell r="O3006" t="str">
            <v>2026-04</v>
          </cell>
        </row>
        <row r="3007">
          <cell r="G3007">
            <v>1066596</v>
          </cell>
          <cell r="O3007" t="str">
            <v>2026-08</v>
          </cell>
        </row>
        <row r="3008">
          <cell r="G3008">
            <v>1118321</v>
          </cell>
          <cell r="O3008" t="str">
            <v>2026-03</v>
          </cell>
        </row>
        <row r="3009">
          <cell r="G3009">
            <v>1238250</v>
          </cell>
          <cell r="O3009" t="str">
            <v>2026-04</v>
          </cell>
        </row>
        <row r="3010">
          <cell r="G3010">
            <v>1256331</v>
          </cell>
          <cell r="O3010" t="str">
            <v>2026-05</v>
          </cell>
        </row>
        <row r="3011">
          <cell r="G3011">
            <v>1271702</v>
          </cell>
          <cell r="O3011" t="str">
            <v>2026-08</v>
          </cell>
        </row>
        <row r="3012">
          <cell r="G3012">
            <v>1279368</v>
          </cell>
          <cell r="O3012" t="str">
            <v>2026-09</v>
          </cell>
        </row>
        <row r="3013">
          <cell r="G3013">
            <v>1400875</v>
          </cell>
          <cell r="O3013" t="str">
            <v>2026-01</v>
          </cell>
        </row>
        <row r="3014">
          <cell r="G3014">
            <v>1402599</v>
          </cell>
          <cell r="O3014" t="str">
            <v>2026-02</v>
          </cell>
        </row>
        <row r="3015">
          <cell r="G3015">
            <v>1403095</v>
          </cell>
          <cell r="O3015" t="str">
            <v>2026-02</v>
          </cell>
        </row>
        <row r="3016">
          <cell r="G3016">
            <v>1403100</v>
          </cell>
          <cell r="O3016" t="str">
            <v>2026-02</v>
          </cell>
        </row>
        <row r="3017">
          <cell r="G3017">
            <v>1408028</v>
          </cell>
          <cell r="O3017" t="str">
            <v>2026-03</v>
          </cell>
        </row>
        <row r="3018">
          <cell r="G3018">
            <v>1408038</v>
          </cell>
          <cell r="O3018" t="str">
            <v>2026-03</v>
          </cell>
        </row>
        <row r="3019">
          <cell r="G3019">
            <v>1408347</v>
          </cell>
          <cell r="O3019" t="str">
            <v>2026-03</v>
          </cell>
        </row>
        <row r="3020">
          <cell r="G3020">
            <v>1409213</v>
          </cell>
          <cell r="O3020" t="str">
            <v>2026-02</v>
          </cell>
        </row>
        <row r="3021">
          <cell r="G3021">
            <v>1409951</v>
          </cell>
          <cell r="O3021" t="str">
            <v>2026-03</v>
          </cell>
        </row>
        <row r="3022">
          <cell r="G3022">
            <v>1412551</v>
          </cell>
          <cell r="O3022" t="str">
            <v>2026-02</v>
          </cell>
        </row>
        <row r="3023">
          <cell r="G3023">
            <v>1413985</v>
          </cell>
          <cell r="O3023" t="str">
            <v>2026-03</v>
          </cell>
        </row>
        <row r="3024">
          <cell r="G3024">
            <v>1414534</v>
          </cell>
          <cell r="O3024" t="str">
            <v>2026-04</v>
          </cell>
        </row>
        <row r="3025">
          <cell r="G3025">
            <v>1414538</v>
          </cell>
          <cell r="O3025" t="str">
            <v>2026-04</v>
          </cell>
        </row>
        <row r="3026">
          <cell r="G3026">
            <v>1414541</v>
          </cell>
          <cell r="O3026" t="str">
            <v>2026-06</v>
          </cell>
        </row>
        <row r="3027">
          <cell r="G3027">
            <v>1414886</v>
          </cell>
          <cell r="O3027" t="str">
            <v>2026-04</v>
          </cell>
        </row>
        <row r="3028">
          <cell r="G3028">
            <v>1416594</v>
          </cell>
          <cell r="O3028" t="str">
            <v>2026-03</v>
          </cell>
        </row>
        <row r="3029">
          <cell r="G3029">
            <v>1416927</v>
          </cell>
          <cell r="O3029" t="str">
            <v>2026-03</v>
          </cell>
        </row>
        <row r="3030">
          <cell r="G3030">
            <v>1417349</v>
          </cell>
          <cell r="O3030" t="str">
            <v>2026-03</v>
          </cell>
        </row>
        <row r="3031">
          <cell r="G3031">
            <v>1418826</v>
          </cell>
          <cell r="O3031" t="str">
            <v>2026-03</v>
          </cell>
        </row>
        <row r="3032">
          <cell r="G3032">
            <v>1419702</v>
          </cell>
          <cell r="O3032" t="str">
            <v>2026-02</v>
          </cell>
        </row>
        <row r="3033">
          <cell r="G3033">
            <v>1420200</v>
          </cell>
          <cell r="O3033" t="str">
            <v>2026-03</v>
          </cell>
        </row>
        <row r="3034">
          <cell r="G3034">
            <v>1422652</v>
          </cell>
          <cell r="O3034" t="str">
            <v>2026-04</v>
          </cell>
        </row>
        <row r="3035">
          <cell r="G3035">
            <v>1425000</v>
          </cell>
          <cell r="O3035" t="str">
            <v>2026-03</v>
          </cell>
        </row>
        <row r="3036">
          <cell r="G3036">
            <v>1426104</v>
          </cell>
          <cell r="O3036" t="str">
            <v>2026-05</v>
          </cell>
        </row>
        <row r="3037">
          <cell r="G3037">
            <v>1426544</v>
          </cell>
          <cell r="O3037" t="str">
            <v>2026-05</v>
          </cell>
        </row>
        <row r="3038">
          <cell r="G3038">
            <v>1429217</v>
          </cell>
          <cell r="O3038" t="str">
            <v>2026-05</v>
          </cell>
        </row>
        <row r="3039">
          <cell r="G3039">
            <v>1433287</v>
          </cell>
          <cell r="O3039" t="str">
            <v>2026-05</v>
          </cell>
        </row>
        <row r="3040">
          <cell r="G3040">
            <v>1436701</v>
          </cell>
          <cell r="O3040" t="str">
            <v>2026-07</v>
          </cell>
        </row>
        <row r="3041">
          <cell r="G3041">
            <v>1438544</v>
          </cell>
          <cell r="O3041" t="str">
            <v>2026-06</v>
          </cell>
        </row>
        <row r="3042">
          <cell r="G3042">
            <v>1443523</v>
          </cell>
          <cell r="O3042" t="str">
            <v>2026-07</v>
          </cell>
        </row>
        <row r="3043">
          <cell r="G3043">
            <v>1447004</v>
          </cell>
          <cell r="O3043" t="str">
            <v>2026-07</v>
          </cell>
        </row>
        <row r="3044">
          <cell r="G3044">
            <v>1449182</v>
          </cell>
          <cell r="O3044" t="str">
            <v>2026-07</v>
          </cell>
        </row>
        <row r="3045">
          <cell r="G3045">
            <v>1451699</v>
          </cell>
          <cell r="O3045" t="str">
            <v>2026-08</v>
          </cell>
        </row>
        <row r="3046">
          <cell r="G3046">
            <v>1452634</v>
          </cell>
          <cell r="O3046" t="str">
            <v>2026-08</v>
          </cell>
        </row>
        <row r="3047">
          <cell r="G3047">
            <v>1454542</v>
          </cell>
          <cell r="O3047" t="str">
            <v>2026-09</v>
          </cell>
        </row>
        <row r="3048">
          <cell r="G3048">
            <v>1463498</v>
          </cell>
          <cell r="O3048" t="str">
            <v>2026-10</v>
          </cell>
        </row>
        <row r="3049">
          <cell r="G3049">
            <v>1463838</v>
          </cell>
          <cell r="O3049" t="str">
            <v>2026-09</v>
          </cell>
        </row>
        <row r="3050">
          <cell r="G3050">
            <v>1464173</v>
          </cell>
          <cell r="O3050" t="str">
            <v>2026-10</v>
          </cell>
        </row>
        <row r="3051">
          <cell r="G3051">
            <v>1465423</v>
          </cell>
          <cell r="O3051" t="str">
            <v>2026-09</v>
          </cell>
        </row>
        <row r="3052">
          <cell r="G3052">
            <v>1465908</v>
          </cell>
          <cell r="O3052" t="str">
            <v>2026-10</v>
          </cell>
        </row>
        <row r="3053">
          <cell r="G3053">
            <v>1468105</v>
          </cell>
          <cell r="O3053" t="str">
            <v>2025-10</v>
          </cell>
        </row>
        <row r="3054">
          <cell r="G3054">
            <v>1468105</v>
          </cell>
          <cell r="O3054" t="str">
            <v>2025-10</v>
          </cell>
        </row>
        <row r="3055">
          <cell r="G3055">
            <v>1471392</v>
          </cell>
          <cell r="O3055" t="str">
            <v>2026-11</v>
          </cell>
        </row>
        <row r="3056">
          <cell r="G3056">
            <v>1473844</v>
          </cell>
          <cell r="O3056" t="str">
            <v>2025-11</v>
          </cell>
        </row>
        <row r="3057">
          <cell r="G3057">
            <v>1477843</v>
          </cell>
          <cell r="O3057" t="str">
            <v>2025-11</v>
          </cell>
        </row>
        <row r="3058">
          <cell r="G3058">
            <v>1482188</v>
          </cell>
          <cell r="O3058" t="str">
            <v>2025-12</v>
          </cell>
        </row>
        <row r="3059">
          <cell r="G3059">
            <v>1482625</v>
          </cell>
          <cell r="O3059" t="str">
            <v>2025-12</v>
          </cell>
        </row>
        <row r="3060">
          <cell r="G3060">
            <v>1483220</v>
          </cell>
          <cell r="O3060" t="str">
            <v>2026-01</v>
          </cell>
        </row>
        <row r="3061">
          <cell r="G3061">
            <v>1483595</v>
          </cell>
          <cell r="O3061" t="str">
            <v>2026-01</v>
          </cell>
        </row>
        <row r="3062">
          <cell r="G3062">
            <v>1483604</v>
          </cell>
          <cell r="O3062" t="str">
            <v>2026-01</v>
          </cell>
        </row>
        <row r="3063">
          <cell r="G3063">
            <v>1483614</v>
          </cell>
          <cell r="O3063" t="str">
            <v>2026-02</v>
          </cell>
        </row>
        <row r="3064">
          <cell r="G3064">
            <v>1483647</v>
          </cell>
          <cell r="O3064" t="str">
            <v>2026-01</v>
          </cell>
        </row>
        <row r="3065">
          <cell r="G3065">
            <v>1483658</v>
          </cell>
          <cell r="O3065" t="str">
            <v>2026-01</v>
          </cell>
        </row>
        <row r="3066">
          <cell r="G3066">
            <v>1484358</v>
          </cell>
          <cell r="O3066" t="str">
            <v>2025-12</v>
          </cell>
        </row>
        <row r="3067">
          <cell r="G3067">
            <v>1484817</v>
          </cell>
          <cell r="O3067" t="str">
            <v>2025-12</v>
          </cell>
        </row>
        <row r="3068">
          <cell r="G3068">
            <v>1488144</v>
          </cell>
          <cell r="O3068" t="str">
            <v>2026-01</v>
          </cell>
        </row>
        <row r="3069">
          <cell r="G3069">
            <v>1488856</v>
          </cell>
          <cell r="O3069" t="str">
            <v>2026-01</v>
          </cell>
        </row>
        <row r="3070">
          <cell r="G3070">
            <v>1489151</v>
          </cell>
          <cell r="O3070" t="str">
            <v>2025-12</v>
          </cell>
        </row>
        <row r="3071">
          <cell r="G3071">
            <v>1490594</v>
          </cell>
          <cell r="O3071" t="str">
            <v>2026-01</v>
          </cell>
        </row>
        <row r="3072">
          <cell r="G3072">
            <v>1490632</v>
          </cell>
          <cell r="O3072" t="str">
            <v>2026-01</v>
          </cell>
        </row>
        <row r="3073">
          <cell r="G3073">
            <v>1490998</v>
          </cell>
          <cell r="O3073" t="str">
            <v>2026-01</v>
          </cell>
        </row>
        <row r="3074">
          <cell r="G3074">
            <v>1491646</v>
          </cell>
          <cell r="O3074" t="str">
            <v>2026-01</v>
          </cell>
        </row>
        <row r="3075">
          <cell r="G3075">
            <v>1491867</v>
          </cell>
          <cell r="O3075" t="str">
            <v>2026-02</v>
          </cell>
        </row>
        <row r="3076">
          <cell r="G3076">
            <v>1491887</v>
          </cell>
          <cell r="O3076" t="str">
            <v>2026-02</v>
          </cell>
        </row>
        <row r="3077">
          <cell r="G3077">
            <v>1491898</v>
          </cell>
          <cell r="O3077" t="str">
            <v>2026-02</v>
          </cell>
        </row>
        <row r="3078">
          <cell r="G3078">
            <v>1491908</v>
          </cell>
          <cell r="O3078" t="str">
            <v>2026-02</v>
          </cell>
        </row>
        <row r="3079">
          <cell r="G3079">
            <v>1491923</v>
          </cell>
          <cell r="O3079" t="str">
            <v>2026-02</v>
          </cell>
        </row>
        <row r="3080">
          <cell r="G3080">
            <v>1492027</v>
          </cell>
          <cell r="O3080" t="str">
            <v>2026-02</v>
          </cell>
        </row>
        <row r="3081">
          <cell r="G3081">
            <v>1492036</v>
          </cell>
          <cell r="O3081" t="str">
            <v>2026-02</v>
          </cell>
        </row>
        <row r="3082">
          <cell r="G3082">
            <v>1492043</v>
          </cell>
          <cell r="O3082" t="str">
            <v>2026-03</v>
          </cell>
        </row>
        <row r="3083">
          <cell r="G3083">
            <v>1492045</v>
          </cell>
          <cell r="O3083" t="str">
            <v>2026-02</v>
          </cell>
        </row>
        <row r="3084">
          <cell r="G3084">
            <v>1492166</v>
          </cell>
          <cell r="O3084" t="str">
            <v>2026-02</v>
          </cell>
        </row>
        <row r="3085">
          <cell r="G3085">
            <v>1492620</v>
          </cell>
          <cell r="O3085" t="str">
            <v>2025-12</v>
          </cell>
        </row>
        <row r="3086">
          <cell r="G3086">
            <v>1493108</v>
          </cell>
          <cell r="O3086" t="str">
            <v>2026-02</v>
          </cell>
        </row>
        <row r="3087">
          <cell r="G3087">
            <v>1493794</v>
          </cell>
          <cell r="O3087" t="str">
            <v>2026-01</v>
          </cell>
        </row>
        <row r="3088">
          <cell r="G3088">
            <v>1494409</v>
          </cell>
          <cell r="O3088" t="str">
            <v>2026-02</v>
          </cell>
        </row>
        <row r="3089">
          <cell r="G3089">
            <v>1495169</v>
          </cell>
          <cell r="O3089" t="str">
            <v>2026-01</v>
          </cell>
        </row>
        <row r="3090">
          <cell r="G3090">
            <v>1496943</v>
          </cell>
          <cell r="O3090" t="str">
            <v>2026-01</v>
          </cell>
        </row>
        <row r="3091">
          <cell r="G3091">
            <v>1497055</v>
          </cell>
          <cell r="O3091" t="str">
            <v>2026-02</v>
          </cell>
        </row>
        <row r="3092">
          <cell r="G3092">
            <v>1497425</v>
          </cell>
          <cell r="O3092" t="str">
            <v>2026-02</v>
          </cell>
        </row>
        <row r="3093">
          <cell r="G3093">
            <v>1498203</v>
          </cell>
          <cell r="O3093" t="str">
            <v>2026-01</v>
          </cell>
        </row>
        <row r="3094">
          <cell r="G3094">
            <v>1502209</v>
          </cell>
          <cell r="O3094" t="str">
            <v>2026-02</v>
          </cell>
        </row>
        <row r="3095">
          <cell r="G3095">
            <v>1502697</v>
          </cell>
          <cell r="O3095" t="str">
            <v>2026-03</v>
          </cell>
        </row>
        <row r="3096">
          <cell r="G3096">
            <v>1503477</v>
          </cell>
          <cell r="O3096" t="str">
            <v>2026-02</v>
          </cell>
        </row>
        <row r="3097">
          <cell r="G3097">
            <v>1505015</v>
          </cell>
          <cell r="O3097" t="str">
            <v>2026-02</v>
          </cell>
        </row>
        <row r="3098">
          <cell r="G3098">
            <v>1505018</v>
          </cell>
          <cell r="O3098" t="str">
            <v>2026-02</v>
          </cell>
        </row>
        <row r="3099">
          <cell r="G3099">
            <v>1505021</v>
          </cell>
          <cell r="O3099" t="str">
            <v>2026-02</v>
          </cell>
        </row>
        <row r="3100">
          <cell r="G3100">
            <v>1505738</v>
          </cell>
          <cell r="O3100" t="str">
            <v>2026-02</v>
          </cell>
        </row>
        <row r="3101">
          <cell r="G3101">
            <v>1506648</v>
          </cell>
          <cell r="O3101" t="str">
            <v>2026-03</v>
          </cell>
        </row>
        <row r="3102">
          <cell r="G3102">
            <v>1506667</v>
          </cell>
          <cell r="O3102" t="str">
            <v>2026-03</v>
          </cell>
        </row>
        <row r="3103">
          <cell r="G3103">
            <v>1506672</v>
          </cell>
          <cell r="O3103" t="str">
            <v>2026-03</v>
          </cell>
        </row>
        <row r="3104">
          <cell r="G3104">
            <v>1506685</v>
          </cell>
          <cell r="O3104" t="str">
            <v>2026-03</v>
          </cell>
        </row>
        <row r="3105">
          <cell r="G3105">
            <v>1506700</v>
          </cell>
          <cell r="O3105" t="str">
            <v>2026-03</v>
          </cell>
        </row>
        <row r="3106">
          <cell r="G3106">
            <v>1506713</v>
          </cell>
          <cell r="O3106" t="str">
            <v>2026-03</v>
          </cell>
        </row>
        <row r="3107">
          <cell r="G3107">
            <v>1506741</v>
          </cell>
          <cell r="O3107" t="str">
            <v>2026-03</v>
          </cell>
        </row>
        <row r="3108">
          <cell r="G3108">
            <v>1506813</v>
          </cell>
          <cell r="O3108" t="str">
            <v>2026-03</v>
          </cell>
        </row>
        <row r="3109">
          <cell r="G3109">
            <v>1506821</v>
          </cell>
          <cell r="O3109" t="str">
            <v>2026-03</v>
          </cell>
        </row>
        <row r="3110">
          <cell r="G3110">
            <v>1506952</v>
          </cell>
          <cell r="O3110" t="str">
            <v>2026-03</v>
          </cell>
        </row>
        <row r="3111">
          <cell r="G3111">
            <v>1507049</v>
          </cell>
          <cell r="O3111" t="str">
            <v>2026-03</v>
          </cell>
        </row>
        <row r="3112">
          <cell r="G3112">
            <v>1508334</v>
          </cell>
          <cell r="O3112" t="str">
            <v>2026-03</v>
          </cell>
        </row>
        <row r="3113">
          <cell r="G3113">
            <v>1509816</v>
          </cell>
          <cell r="O3113" t="str">
            <v>2026-04</v>
          </cell>
        </row>
        <row r="3114">
          <cell r="G3114">
            <v>1509956</v>
          </cell>
          <cell r="O3114" t="str">
            <v>2026-03</v>
          </cell>
        </row>
        <row r="3115">
          <cell r="G3115">
            <v>1509975</v>
          </cell>
          <cell r="O3115" t="str">
            <v>2026-04</v>
          </cell>
        </row>
        <row r="3116">
          <cell r="G3116">
            <v>1509990</v>
          </cell>
          <cell r="O3116" t="str">
            <v>2026-04</v>
          </cell>
        </row>
        <row r="3117">
          <cell r="G3117">
            <v>1510093</v>
          </cell>
          <cell r="O3117" t="str">
            <v>2026-04</v>
          </cell>
        </row>
        <row r="3118">
          <cell r="G3118">
            <v>1510672</v>
          </cell>
          <cell r="O3118" t="str">
            <v>2026-03</v>
          </cell>
        </row>
        <row r="3119">
          <cell r="G3119">
            <v>1511273</v>
          </cell>
          <cell r="O3119" t="str">
            <v>2026-04</v>
          </cell>
        </row>
        <row r="3120">
          <cell r="G3120">
            <v>1512809</v>
          </cell>
          <cell r="O3120" t="str">
            <v>2026-03</v>
          </cell>
        </row>
        <row r="3121">
          <cell r="G3121">
            <v>1514977</v>
          </cell>
          <cell r="O3121" t="str">
            <v>2026-03</v>
          </cell>
        </row>
        <row r="3122">
          <cell r="G3122">
            <v>1514978</v>
          </cell>
          <cell r="O3122" t="str">
            <v>2026-04</v>
          </cell>
        </row>
        <row r="3123">
          <cell r="G3123">
            <v>1514979</v>
          </cell>
          <cell r="O3123" t="str">
            <v>2026-03</v>
          </cell>
        </row>
        <row r="3124">
          <cell r="G3124">
            <v>1515932</v>
          </cell>
          <cell r="O3124" t="str">
            <v>2026-04</v>
          </cell>
        </row>
        <row r="3125">
          <cell r="G3125">
            <v>1516119</v>
          </cell>
          <cell r="O3125" t="str">
            <v>2026-03</v>
          </cell>
        </row>
        <row r="3126">
          <cell r="G3126">
            <v>1516120</v>
          </cell>
          <cell r="O3126" t="str">
            <v>2026-03</v>
          </cell>
        </row>
        <row r="3127">
          <cell r="G3127">
            <v>1517631</v>
          </cell>
          <cell r="O3127" t="str">
            <v>2026-05</v>
          </cell>
        </row>
        <row r="3128">
          <cell r="G3128">
            <v>1517637</v>
          </cell>
          <cell r="O3128" t="str">
            <v>2026-05</v>
          </cell>
        </row>
        <row r="3129">
          <cell r="G3129">
            <v>1517655</v>
          </cell>
          <cell r="O3129" t="str">
            <v>2026-05</v>
          </cell>
        </row>
        <row r="3130">
          <cell r="G3130">
            <v>1517676</v>
          </cell>
          <cell r="O3130" t="str">
            <v>2026-05</v>
          </cell>
        </row>
        <row r="3131">
          <cell r="G3131">
            <v>1517915</v>
          </cell>
          <cell r="O3131" t="str">
            <v>2026-03</v>
          </cell>
        </row>
        <row r="3132">
          <cell r="G3132">
            <v>1519228</v>
          </cell>
          <cell r="O3132" t="str">
            <v>2026-04</v>
          </cell>
        </row>
        <row r="3133">
          <cell r="G3133">
            <v>1519922</v>
          </cell>
          <cell r="O3133" t="str">
            <v>2026-05</v>
          </cell>
        </row>
        <row r="3134">
          <cell r="G3134">
            <v>1520939</v>
          </cell>
          <cell r="O3134" t="str">
            <v>2026-05</v>
          </cell>
        </row>
        <row r="3135">
          <cell r="G3135">
            <v>1521065</v>
          </cell>
          <cell r="O3135" t="str">
            <v>2026-04</v>
          </cell>
        </row>
        <row r="3136">
          <cell r="G3136">
            <v>1523613</v>
          </cell>
          <cell r="O3136" t="str">
            <v>2026-04</v>
          </cell>
        </row>
        <row r="3137">
          <cell r="G3137">
            <v>1524774</v>
          </cell>
          <cell r="O3137" t="str">
            <v>2026-04</v>
          </cell>
        </row>
        <row r="3138">
          <cell r="G3138">
            <v>1525337</v>
          </cell>
          <cell r="O3138" t="str">
            <v>2026-05</v>
          </cell>
        </row>
        <row r="3139">
          <cell r="G3139">
            <v>1525616</v>
          </cell>
          <cell r="O3139" t="str">
            <v>2026-04</v>
          </cell>
        </row>
        <row r="3140">
          <cell r="G3140">
            <v>1526048</v>
          </cell>
          <cell r="O3140" t="str">
            <v>2026-04</v>
          </cell>
        </row>
        <row r="3141">
          <cell r="G3141">
            <v>1526406</v>
          </cell>
          <cell r="O3141" t="str">
            <v>2026-04</v>
          </cell>
        </row>
        <row r="3142">
          <cell r="G3142">
            <v>1527970</v>
          </cell>
          <cell r="O3142" t="str">
            <v>2026-06</v>
          </cell>
        </row>
        <row r="3143">
          <cell r="G3143">
            <v>1527972</v>
          </cell>
          <cell r="O3143" t="str">
            <v>2026-06</v>
          </cell>
        </row>
        <row r="3144">
          <cell r="G3144">
            <v>1528045</v>
          </cell>
          <cell r="O3144" t="str">
            <v>2026-05</v>
          </cell>
        </row>
        <row r="3145">
          <cell r="G3145">
            <v>1528105</v>
          </cell>
          <cell r="O3145" t="str">
            <v>2026-05</v>
          </cell>
        </row>
        <row r="3146">
          <cell r="G3146">
            <v>1529092</v>
          </cell>
          <cell r="O3146" t="str">
            <v>2026-05</v>
          </cell>
        </row>
        <row r="3147">
          <cell r="G3147">
            <v>1530897</v>
          </cell>
          <cell r="O3147" t="str">
            <v>2026-06</v>
          </cell>
        </row>
        <row r="3148">
          <cell r="G3148">
            <v>1532665</v>
          </cell>
          <cell r="O3148" t="str">
            <v>2026-05</v>
          </cell>
        </row>
        <row r="3149">
          <cell r="G3149">
            <v>1532759</v>
          </cell>
          <cell r="O3149" t="str">
            <v>2026-06</v>
          </cell>
        </row>
        <row r="3150">
          <cell r="G3150">
            <v>1536831</v>
          </cell>
          <cell r="O3150" t="str">
            <v>2026-06</v>
          </cell>
        </row>
        <row r="3151">
          <cell r="G3151">
            <v>1537757</v>
          </cell>
          <cell r="O3151" t="str">
            <v>2026-06</v>
          </cell>
        </row>
        <row r="3152">
          <cell r="G3152">
            <v>1538612</v>
          </cell>
          <cell r="O3152" t="str">
            <v>2026-07</v>
          </cell>
        </row>
        <row r="3153">
          <cell r="G3153">
            <v>1538631</v>
          </cell>
          <cell r="O3153" t="str">
            <v>2026-07</v>
          </cell>
        </row>
        <row r="3154">
          <cell r="G3154">
            <v>1538645</v>
          </cell>
          <cell r="O3154" t="str">
            <v>2026-07</v>
          </cell>
        </row>
        <row r="3155">
          <cell r="G3155">
            <v>1538650</v>
          </cell>
          <cell r="O3155" t="str">
            <v>2026-07</v>
          </cell>
        </row>
        <row r="3156">
          <cell r="G3156">
            <v>1538666</v>
          </cell>
          <cell r="O3156" t="str">
            <v>2026-07</v>
          </cell>
        </row>
        <row r="3157">
          <cell r="G3157">
            <v>1538672</v>
          </cell>
          <cell r="O3157" t="str">
            <v>2026-07</v>
          </cell>
        </row>
        <row r="3158">
          <cell r="G3158">
            <v>1538818</v>
          </cell>
          <cell r="O3158" t="str">
            <v>2026-07</v>
          </cell>
        </row>
        <row r="3159">
          <cell r="G3159">
            <v>1539282</v>
          </cell>
          <cell r="O3159" t="str">
            <v>2026-07</v>
          </cell>
        </row>
        <row r="3160">
          <cell r="G3160">
            <v>1542307</v>
          </cell>
          <cell r="O3160" t="str">
            <v>2026-06</v>
          </cell>
        </row>
        <row r="3161">
          <cell r="G3161">
            <v>1543096</v>
          </cell>
          <cell r="O3161" t="str">
            <v>2026-06</v>
          </cell>
        </row>
        <row r="3162">
          <cell r="G3162">
            <v>1543104</v>
          </cell>
          <cell r="O3162" t="str">
            <v>2026-06</v>
          </cell>
        </row>
        <row r="3163">
          <cell r="G3163">
            <v>1544218</v>
          </cell>
          <cell r="O3163" t="str">
            <v>2026-04</v>
          </cell>
        </row>
        <row r="3164">
          <cell r="G3164">
            <v>1545397</v>
          </cell>
          <cell r="O3164" t="str">
            <v>2026-07</v>
          </cell>
        </row>
        <row r="3165">
          <cell r="G3165">
            <v>1546062</v>
          </cell>
          <cell r="O3165" t="str">
            <v>2026-08</v>
          </cell>
        </row>
        <row r="3166">
          <cell r="G3166">
            <v>1547921</v>
          </cell>
          <cell r="O3166" t="str">
            <v>2026-08</v>
          </cell>
        </row>
        <row r="3167">
          <cell r="G3167">
            <v>1547928</v>
          </cell>
          <cell r="O3167" t="str">
            <v>2026-08</v>
          </cell>
        </row>
        <row r="3168">
          <cell r="G3168">
            <v>1547931</v>
          </cell>
          <cell r="O3168" t="str">
            <v>2026-08</v>
          </cell>
        </row>
        <row r="3169">
          <cell r="G3169">
            <v>1547935</v>
          </cell>
          <cell r="O3169" t="str">
            <v>2026-08</v>
          </cell>
        </row>
        <row r="3170">
          <cell r="G3170">
            <v>1547936</v>
          </cell>
          <cell r="O3170" t="str">
            <v>2026-08</v>
          </cell>
        </row>
        <row r="3171">
          <cell r="G3171">
            <v>1547940</v>
          </cell>
          <cell r="O3171" t="str">
            <v>2026-08</v>
          </cell>
        </row>
        <row r="3172">
          <cell r="G3172">
            <v>1547943</v>
          </cell>
          <cell r="O3172" t="str">
            <v>2026-08</v>
          </cell>
        </row>
        <row r="3173">
          <cell r="G3173">
            <v>1547949</v>
          </cell>
          <cell r="O3173" t="str">
            <v>2026-08</v>
          </cell>
        </row>
        <row r="3174">
          <cell r="G3174">
            <v>1547952</v>
          </cell>
          <cell r="O3174" t="str">
            <v>2026-08</v>
          </cell>
        </row>
        <row r="3175">
          <cell r="G3175">
            <v>1547958</v>
          </cell>
          <cell r="O3175" t="str">
            <v>2026-08</v>
          </cell>
        </row>
        <row r="3176">
          <cell r="G3176">
            <v>1547963</v>
          </cell>
          <cell r="O3176" t="str">
            <v>2026-08</v>
          </cell>
        </row>
        <row r="3177">
          <cell r="G3177">
            <v>1547966</v>
          </cell>
          <cell r="O3177" t="str">
            <v>2026-08</v>
          </cell>
        </row>
        <row r="3178">
          <cell r="G3178">
            <v>1547969</v>
          </cell>
          <cell r="O3178" t="str">
            <v>2026-08</v>
          </cell>
        </row>
        <row r="3179">
          <cell r="G3179">
            <v>1547970</v>
          </cell>
          <cell r="O3179" t="str">
            <v>2026-08</v>
          </cell>
        </row>
        <row r="3180">
          <cell r="G3180">
            <v>1547976</v>
          </cell>
          <cell r="O3180" t="str">
            <v>2026-08</v>
          </cell>
        </row>
        <row r="3181">
          <cell r="G3181">
            <v>1547983</v>
          </cell>
          <cell r="O3181" t="str">
            <v>2026-08</v>
          </cell>
        </row>
        <row r="3182">
          <cell r="G3182">
            <v>1547990</v>
          </cell>
          <cell r="O3182" t="str">
            <v>2026-08</v>
          </cell>
        </row>
        <row r="3183">
          <cell r="G3183">
            <v>1548389</v>
          </cell>
          <cell r="O3183" t="str">
            <v>2026-08</v>
          </cell>
        </row>
        <row r="3184">
          <cell r="G3184">
            <v>1548635</v>
          </cell>
          <cell r="O3184" t="str">
            <v>2026-08</v>
          </cell>
        </row>
        <row r="3185">
          <cell r="G3185">
            <v>1548754</v>
          </cell>
          <cell r="O3185" t="str">
            <v>2026-07</v>
          </cell>
        </row>
        <row r="3186">
          <cell r="G3186">
            <v>1549874</v>
          </cell>
          <cell r="O3186" t="str">
            <v>2026-08</v>
          </cell>
        </row>
        <row r="3187">
          <cell r="G3187">
            <v>1551803</v>
          </cell>
          <cell r="O3187" t="str">
            <v>2026-07</v>
          </cell>
        </row>
        <row r="3188">
          <cell r="G3188">
            <v>1554678</v>
          </cell>
          <cell r="O3188" t="str">
            <v>2026-09</v>
          </cell>
        </row>
        <row r="3189">
          <cell r="G3189">
            <v>1563106</v>
          </cell>
          <cell r="O3189" t="str">
            <v>2026-09</v>
          </cell>
        </row>
        <row r="3190">
          <cell r="G3190">
            <v>1563417</v>
          </cell>
          <cell r="O3190" t="str">
            <v>2026-09</v>
          </cell>
        </row>
        <row r="3191">
          <cell r="G3191">
            <v>1563560</v>
          </cell>
          <cell r="O3191" t="str">
            <v>2026-09</v>
          </cell>
        </row>
        <row r="3192">
          <cell r="G3192">
            <v>1563812</v>
          </cell>
          <cell r="O3192" t="str">
            <v>2026-09</v>
          </cell>
        </row>
        <row r="3193">
          <cell r="G3193">
            <v>1563861</v>
          </cell>
          <cell r="O3193" t="str">
            <v>2026-09</v>
          </cell>
        </row>
        <row r="3194">
          <cell r="G3194">
            <v>1563894</v>
          </cell>
          <cell r="O3194" t="str">
            <v>2026-09</v>
          </cell>
        </row>
        <row r="3195">
          <cell r="G3195">
            <v>1563912</v>
          </cell>
          <cell r="O3195" t="str">
            <v>2026-09</v>
          </cell>
        </row>
        <row r="3196">
          <cell r="G3196">
            <v>1565377</v>
          </cell>
          <cell r="O3196" t="str">
            <v>2026-09</v>
          </cell>
        </row>
        <row r="3197">
          <cell r="G3197">
            <v>1565837</v>
          </cell>
          <cell r="O3197" t="str">
            <v>2026-09</v>
          </cell>
        </row>
        <row r="3198">
          <cell r="G3198">
            <v>1567343</v>
          </cell>
          <cell r="O3198" t="str">
            <v>2026-09</v>
          </cell>
        </row>
        <row r="3199">
          <cell r="G3199">
            <v>1571216</v>
          </cell>
          <cell r="O3199" t="str">
            <v>2026-09</v>
          </cell>
        </row>
        <row r="3200">
          <cell r="G3200">
            <v>1573325</v>
          </cell>
          <cell r="O3200" t="str">
            <v>2026-10</v>
          </cell>
        </row>
        <row r="3201">
          <cell r="G3201">
            <v>1573343</v>
          </cell>
          <cell r="O3201" t="str">
            <v>2026-10</v>
          </cell>
        </row>
        <row r="3202">
          <cell r="G3202">
            <v>1573351</v>
          </cell>
          <cell r="O3202" t="str">
            <v>2026-10</v>
          </cell>
        </row>
        <row r="3203">
          <cell r="G3203">
            <v>1573356</v>
          </cell>
          <cell r="O3203" t="str">
            <v>2026-10</v>
          </cell>
        </row>
        <row r="3204">
          <cell r="G3204">
            <v>1573365</v>
          </cell>
          <cell r="O3204" t="str">
            <v>2026-10</v>
          </cell>
        </row>
        <row r="3205">
          <cell r="G3205">
            <v>1573377</v>
          </cell>
          <cell r="O3205" t="str">
            <v>2026-10</v>
          </cell>
        </row>
        <row r="3206">
          <cell r="G3206">
            <v>1573381</v>
          </cell>
          <cell r="O3206" t="str">
            <v>2026-10</v>
          </cell>
        </row>
        <row r="3207">
          <cell r="G3207">
            <v>1573433</v>
          </cell>
          <cell r="O3207" t="str">
            <v>2026-09</v>
          </cell>
        </row>
        <row r="3208">
          <cell r="G3208">
            <v>1573560</v>
          </cell>
          <cell r="O3208" t="str">
            <v>2026-10</v>
          </cell>
        </row>
        <row r="3209">
          <cell r="G3209">
            <v>1573562</v>
          </cell>
          <cell r="O3209" t="str">
            <v>2026-10</v>
          </cell>
        </row>
        <row r="3210">
          <cell r="G3210">
            <v>1573568</v>
          </cell>
          <cell r="O3210" t="str">
            <v>2026-10</v>
          </cell>
        </row>
        <row r="3211">
          <cell r="G3211">
            <v>1573574</v>
          </cell>
          <cell r="O3211" t="str">
            <v>2026-10</v>
          </cell>
        </row>
        <row r="3212">
          <cell r="G3212">
            <v>1573575</v>
          </cell>
          <cell r="O3212" t="str">
            <v>2026-10</v>
          </cell>
        </row>
        <row r="3213">
          <cell r="G3213">
            <v>1573582</v>
          </cell>
          <cell r="O3213" t="str">
            <v>2026-10</v>
          </cell>
        </row>
        <row r="3214">
          <cell r="G3214">
            <v>1573588</v>
          </cell>
          <cell r="O3214" t="str">
            <v>2026-10</v>
          </cell>
        </row>
        <row r="3215">
          <cell r="G3215">
            <v>1574042</v>
          </cell>
          <cell r="O3215" t="str">
            <v>2026-10</v>
          </cell>
        </row>
        <row r="3216">
          <cell r="G3216">
            <v>1574229</v>
          </cell>
          <cell r="O3216" t="str">
            <v>2026-10</v>
          </cell>
        </row>
        <row r="3217">
          <cell r="G3217">
            <v>1574721</v>
          </cell>
          <cell r="O3217" t="str">
            <v>2026-10</v>
          </cell>
        </row>
        <row r="3218">
          <cell r="G3218">
            <v>1575320</v>
          </cell>
          <cell r="O3218" t="str">
            <v>2026-10</v>
          </cell>
        </row>
        <row r="3219">
          <cell r="G3219">
            <v>1575405</v>
          </cell>
          <cell r="O3219" t="str">
            <v>2026-09</v>
          </cell>
        </row>
        <row r="3220">
          <cell r="G3220">
            <v>1575646</v>
          </cell>
          <cell r="O3220" t="str">
            <v>2026-10</v>
          </cell>
        </row>
        <row r="3221">
          <cell r="G3221">
            <v>1575959</v>
          </cell>
          <cell r="O3221" t="str">
            <v>2026-09</v>
          </cell>
        </row>
        <row r="3222">
          <cell r="G3222">
            <v>1576084</v>
          </cell>
          <cell r="O3222" t="str">
            <v>2026-11</v>
          </cell>
        </row>
        <row r="3223">
          <cell r="G3223">
            <v>1576258</v>
          </cell>
          <cell r="O3223" t="str">
            <v>2026-10</v>
          </cell>
        </row>
        <row r="3224">
          <cell r="G3224">
            <v>1578451</v>
          </cell>
          <cell r="O3224" t="str">
            <v>2026-10</v>
          </cell>
        </row>
        <row r="3225">
          <cell r="G3225">
            <v>1578883</v>
          </cell>
          <cell r="O3225" t="str">
            <v>2026-10</v>
          </cell>
        </row>
        <row r="3226">
          <cell r="G3226">
            <v>1579179</v>
          </cell>
          <cell r="O3226" t="str">
            <v>2026-10</v>
          </cell>
        </row>
        <row r="3227">
          <cell r="G3227">
            <v>1581063</v>
          </cell>
          <cell r="O3227" t="str">
            <v>2026-10</v>
          </cell>
        </row>
        <row r="3228">
          <cell r="G3228">
            <v>442971</v>
          </cell>
          <cell r="O3228" t="str">
            <v>2026-08</v>
          </cell>
        </row>
        <row r="3229">
          <cell r="G3229">
            <v>451859</v>
          </cell>
          <cell r="O3229" t="str">
            <v>2026-10</v>
          </cell>
        </row>
        <row r="3230">
          <cell r="G3230">
            <v>496339</v>
          </cell>
          <cell r="O3230" t="str">
            <v>2026-08</v>
          </cell>
        </row>
        <row r="3231">
          <cell r="G3231">
            <v>571204</v>
          </cell>
          <cell r="O3231" t="str">
            <v>2026-06</v>
          </cell>
        </row>
        <row r="3232">
          <cell r="G3232">
            <v>571470</v>
          </cell>
          <cell r="O3232" t="str">
            <v>2026-07</v>
          </cell>
        </row>
        <row r="3233">
          <cell r="G3233">
            <v>709789</v>
          </cell>
          <cell r="O3233" t="str">
            <v>2026-08</v>
          </cell>
        </row>
        <row r="3234">
          <cell r="G3234">
            <v>717356</v>
          </cell>
          <cell r="O3234" t="str">
            <v>2026-09</v>
          </cell>
        </row>
        <row r="3235">
          <cell r="G3235">
            <v>768638</v>
          </cell>
          <cell r="O3235" t="str">
            <v>2026-06</v>
          </cell>
        </row>
        <row r="3236">
          <cell r="G3236">
            <v>795286</v>
          </cell>
          <cell r="O3236" t="str">
            <v>2026-08</v>
          </cell>
        </row>
        <row r="3237">
          <cell r="G3237">
            <v>856751</v>
          </cell>
          <cell r="O3237" t="str">
            <v>2026-04</v>
          </cell>
        </row>
        <row r="3238">
          <cell r="G3238">
            <v>877147</v>
          </cell>
          <cell r="O3238" t="str">
            <v>2026-06</v>
          </cell>
        </row>
        <row r="3239">
          <cell r="G3239">
            <v>1308781</v>
          </cell>
          <cell r="O3239" t="str">
            <v>2025-12</v>
          </cell>
        </row>
        <row r="3240">
          <cell r="G3240">
            <v>1308781</v>
          </cell>
          <cell r="O3240" t="str">
            <v>2025-12</v>
          </cell>
        </row>
        <row r="3241">
          <cell r="G3241">
            <v>1308781</v>
          </cell>
          <cell r="O3241" t="str">
            <v>2025-12</v>
          </cell>
        </row>
        <row r="3242">
          <cell r="G3242">
            <v>1308781</v>
          </cell>
          <cell r="O3242" t="str">
            <v>2025-12</v>
          </cell>
        </row>
        <row r="3243">
          <cell r="G3243">
            <v>1308781</v>
          </cell>
          <cell r="O3243" t="str">
            <v>2025-12</v>
          </cell>
        </row>
        <row r="3244">
          <cell r="G3244">
            <v>1358493</v>
          </cell>
          <cell r="O3244" t="str">
            <v>2026-05</v>
          </cell>
        </row>
        <row r="3245">
          <cell r="G3245">
            <v>1453174</v>
          </cell>
          <cell r="O3245" t="str">
            <v>2026-06</v>
          </cell>
        </row>
        <row r="3246">
          <cell r="G3246">
            <v>1475937</v>
          </cell>
          <cell r="O3246" t="str">
            <v>2025-12</v>
          </cell>
        </row>
        <row r="3247">
          <cell r="G3247">
            <v>1478033</v>
          </cell>
          <cell r="O3247" t="str">
            <v>2025-11</v>
          </cell>
        </row>
        <row r="3248">
          <cell r="G3248">
            <v>1484085</v>
          </cell>
          <cell r="O3248" t="str">
            <v>2025-12</v>
          </cell>
        </row>
        <row r="3249">
          <cell r="G3249">
            <v>1484085</v>
          </cell>
          <cell r="O3249" t="str">
            <v>2025-12</v>
          </cell>
        </row>
        <row r="3250">
          <cell r="G3250">
            <v>1484085</v>
          </cell>
          <cell r="O3250" t="str">
            <v>2025-12</v>
          </cell>
        </row>
        <row r="3251">
          <cell r="G3251">
            <v>1489353</v>
          </cell>
          <cell r="O3251" t="str">
            <v>2025-12</v>
          </cell>
        </row>
        <row r="3252">
          <cell r="G3252">
            <v>1489353</v>
          </cell>
          <cell r="O3252" t="str">
            <v>2025-12</v>
          </cell>
        </row>
        <row r="3253">
          <cell r="G3253">
            <v>1489353</v>
          </cell>
          <cell r="O3253" t="str">
            <v>2025-12</v>
          </cell>
        </row>
        <row r="3254">
          <cell r="G3254">
            <v>1494309</v>
          </cell>
          <cell r="O3254" t="str">
            <v>2025-12</v>
          </cell>
        </row>
        <row r="3255">
          <cell r="G3255">
            <v>1504535</v>
          </cell>
          <cell r="O3255" t="str">
            <v>2026-02</v>
          </cell>
        </row>
        <row r="3256">
          <cell r="G3256">
            <v>1509821</v>
          </cell>
          <cell r="O3256" t="str">
            <v>2026-04</v>
          </cell>
        </row>
        <row r="3257">
          <cell r="G3257">
            <v>1509899</v>
          </cell>
          <cell r="O3257" t="str">
            <v>2026-04</v>
          </cell>
        </row>
        <row r="3258">
          <cell r="G3258">
            <v>1509899</v>
          </cell>
          <cell r="O3258" t="str">
            <v>2026-04</v>
          </cell>
        </row>
        <row r="3259">
          <cell r="G3259">
            <v>1509985</v>
          </cell>
          <cell r="O3259" t="str">
            <v>2026-04</v>
          </cell>
        </row>
        <row r="3260">
          <cell r="G3260">
            <v>1512436</v>
          </cell>
          <cell r="O3260" t="str">
            <v>2026-04</v>
          </cell>
        </row>
        <row r="3261">
          <cell r="G3261">
            <v>1512436</v>
          </cell>
          <cell r="O3261" t="str">
            <v>2026-04</v>
          </cell>
        </row>
        <row r="3262">
          <cell r="G3262">
            <v>1543957</v>
          </cell>
          <cell r="O3262" t="str">
            <v>2026-06</v>
          </cell>
        </row>
        <row r="3263">
          <cell r="G3263">
            <v>1543957</v>
          </cell>
          <cell r="O3263" t="str">
            <v>2026-06</v>
          </cell>
        </row>
        <row r="3264">
          <cell r="G3264">
            <v>1543957</v>
          </cell>
          <cell r="O3264" t="str">
            <v>2026-06</v>
          </cell>
        </row>
        <row r="3265">
          <cell r="G3265">
            <v>1543957</v>
          </cell>
          <cell r="O3265" t="str">
            <v>2026-06</v>
          </cell>
        </row>
        <row r="3266">
          <cell r="G3266">
            <v>1543959</v>
          </cell>
          <cell r="O3266" t="str">
            <v>2026-06</v>
          </cell>
        </row>
        <row r="3267">
          <cell r="G3267">
            <v>1543959</v>
          </cell>
          <cell r="O3267" t="str">
            <v>2026-06</v>
          </cell>
        </row>
        <row r="3268">
          <cell r="G3268">
            <v>1543959</v>
          </cell>
          <cell r="O3268" t="str">
            <v>2026-06</v>
          </cell>
        </row>
        <row r="3269">
          <cell r="G3269">
            <v>1543959</v>
          </cell>
          <cell r="O3269" t="str">
            <v>2026-06</v>
          </cell>
        </row>
        <row r="3270">
          <cell r="G3270">
            <v>1543959</v>
          </cell>
          <cell r="O3270" t="str">
            <v>2026-06</v>
          </cell>
        </row>
        <row r="3271">
          <cell r="G3271">
            <v>1543959</v>
          </cell>
          <cell r="O3271" t="str">
            <v>2026-06</v>
          </cell>
        </row>
        <row r="3272">
          <cell r="G3272">
            <v>1543959</v>
          </cell>
          <cell r="O3272" t="str">
            <v>2026-06</v>
          </cell>
        </row>
        <row r="3273">
          <cell r="G3273">
            <v>1543959</v>
          </cell>
          <cell r="O3273" t="str">
            <v>2026-06</v>
          </cell>
        </row>
        <row r="3274">
          <cell r="G3274">
            <v>1543959</v>
          </cell>
          <cell r="O3274" t="str">
            <v>2026-06</v>
          </cell>
        </row>
        <row r="3275">
          <cell r="G3275">
            <v>1543959</v>
          </cell>
          <cell r="O3275" t="str">
            <v>2026-06</v>
          </cell>
        </row>
        <row r="3276">
          <cell r="G3276">
            <v>1543959</v>
          </cell>
          <cell r="O3276" t="str">
            <v>2026-06</v>
          </cell>
        </row>
        <row r="3277">
          <cell r="G3277">
            <v>1543959</v>
          </cell>
          <cell r="O3277" t="str">
            <v>2026-06</v>
          </cell>
        </row>
        <row r="3278">
          <cell r="G3278">
            <v>1543959</v>
          </cell>
          <cell r="O3278" t="str">
            <v>2026-06</v>
          </cell>
        </row>
        <row r="3279">
          <cell r="G3279" t="str">
            <v>BONO_RIMAC_E_MN</v>
          </cell>
          <cell r="O3279" t="str">
            <v>2026-01</v>
          </cell>
        </row>
        <row r="3280">
          <cell r="G3280" t="str">
            <v>S0035867</v>
          </cell>
          <cell r="O3280" t="str">
            <v>2025-11</v>
          </cell>
        </row>
        <row r="3281">
          <cell r="G3281" t="str">
            <v>S0182738</v>
          </cell>
          <cell r="O3281" t="str">
            <v>2025-11</v>
          </cell>
        </row>
        <row r="3282">
          <cell r="G3282" t="str">
            <v>S0331483</v>
          </cell>
          <cell r="O3282" t="str">
            <v>2025-11</v>
          </cell>
        </row>
        <row r="3283">
          <cell r="G3283" t="str">
            <v>S0336164</v>
          </cell>
          <cell r="O3283" t="str">
            <v>2026-09</v>
          </cell>
        </row>
        <row r="3284">
          <cell r="G3284" t="str">
            <v>S0336735</v>
          </cell>
          <cell r="O3284" t="str">
            <v>2025-11</v>
          </cell>
        </row>
        <row r="3285">
          <cell r="G3285" t="str">
            <v>S0344240</v>
          </cell>
          <cell r="O3285" t="str">
            <v>2025-11</v>
          </cell>
        </row>
        <row r="3286">
          <cell r="G3286" t="str">
            <v>S0421521</v>
          </cell>
          <cell r="O3286" t="str">
            <v>2025-11</v>
          </cell>
        </row>
        <row r="3287">
          <cell r="G3287" t="str">
            <v>S0422505</v>
          </cell>
          <cell r="O3287" t="str">
            <v>2025-09</v>
          </cell>
        </row>
        <row r="3288">
          <cell r="G3288" t="str">
            <v>S0422977</v>
          </cell>
          <cell r="O3288" t="str">
            <v>2025-09</v>
          </cell>
        </row>
        <row r="3289">
          <cell r="G3289" t="str">
            <v>S0423936</v>
          </cell>
          <cell r="O3289" t="str">
            <v>2025-10</v>
          </cell>
        </row>
        <row r="3290">
          <cell r="G3290">
            <v>13545</v>
          </cell>
          <cell r="O3290" t="str">
            <v>2026-09</v>
          </cell>
        </row>
        <row r="3291">
          <cell r="G3291" t="str">
            <v>E0001323</v>
          </cell>
          <cell r="O3291" t="str">
            <v>2025-10</v>
          </cell>
        </row>
        <row r="3292">
          <cell r="G3292" t="str">
            <v>E0001944</v>
          </cell>
          <cell r="O3292" t="str">
            <v>2026-05</v>
          </cell>
        </row>
        <row r="3293">
          <cell r="G3293" t="str">
            <v>E0002616</v>
          </cell>
          <cell r="O3293" t="str">
            <v>2026-02</v>
          </cell>
        </row>
        <row r="3294">
          <cell r="G3294" t="str">
            <v>E0002721</v>
          </cell>
          <cell r="O3294" t="str">
            <v>2026-05</v>
          </cell>
        </row>
        <row r="3295">
          <cell r="G3295" t="str">
            <v>E0003208</v>
          </cell>
          <cell r="O3295" t="str">
            <v>2026-10</v>
          </cell>
        </row>
        <row r="3296">
          <cell r="G3296" t="str">
            <v>E0003294</v>
          </cell>
          <cell r="O3296" t="str">
            <v>2026-04</v>
          </cell>
        </row>
        <row r="3297">
          <cell r="G3297" t="str">
            <v>E0003770</v>
          </cell>
          <cell r="O3297" t="str">
            <v>2026-04</v>
          </cell>
        </row>
        <row r="3298">
          <cell r="G3298" t="str">
            <v>E0004928</v>
          </cell>
          <cell r="O3298" t="str">
            <v>2026-04</v>
          </cell>
        </row>
        <row r="3299">
          <cell r="G3299" t="str">
            <v>E0005074</v>
          </cell>
          <cell r="O3299" t="str">
            <v>2026-05</v>
          </cell>
        </row>
        <row r="3300">
          <cell r="G3300" t="str">
            <v>E0012974</v>
          </cell>
          <cell r="O3300" t="str">
            <v>2026-08</v>
          </cell>
        </row>
        <row r="3301">
          <cell r="G3301" t="str">
            <v>E0016874</v>
          </cell>
          <cell r="O3301" t="str">
            <v>2026-04</v>
          </cell>
        </row>
        <row r="3302">
          <cell r="G3302" t="str">
            <v>E0018775</v>
          </cell>
          <cell r="O3302" t="str">
            <v>2026-01</v>
          </cell>
        </row>
        <row r="3303">
          <cell r="G3303" t="str">
            <v>E0019528</v>
          </cell>
          <cell r="O3303" t="str">
            <v>2026-07</v>
          </cell>
        </row>
        <row r="3304">
          <cell r="G3304" t="str">
            <v>E0020619</v>
          </cell>
          <cell r="O3304" t="str">
            <v>2026-08</v>
          </cell>
        </row>
        <row r="3305">
          <cell r="G3305" t="str">
            <v>E0020799</v>
          </cell>
          <cell r="O3305" t="str">
            <v>2026-09</v>
          </cell>
        </row>
        <row r="3306">
          <cell r="G3306" t="str">
            <v>E0020911</v>
          </cell>
          <cell r="O3306" t="str">
            <v>2026-04</v>
          </cell>
        </row>
        <row r="3307">
          <cell r="G3307" t="str">
            <v>E0022240</v>
          </cell>
          <cell r="O3307" t="str">
            <v>2026-04</v>
          </cell>
        </row>
        <row r="3308">
          <cell r="G3308" t="str">
            <v>E0022613</v>
          </cell>
          <cell r="O3308" t="str">
            <v>2026-10</v>
          </cell>
        </row>
        <row r="3309">
          <cell r="G3309" t="str">
            <v>E0024044</v>
          </cell>
          <cell r="O3309" t="str">
            <v>2026-08</v>
          </cell>
        </row>
        <row r="3310">
          <cell r="G3310" t="str">
            <v>E0024561</v>
          </cell>
          <cell r="O3310" t="str">
            <v>2026-10</v>
          </cell>
        </row>
        <row r="3311">
          <cell r="G3311" t="str">
            <v>E0026175</v>
          </cell>
          <cell r="O3311" t="str">
            <v>2026-10</v>
          </cell>
        </row>
        <row r="3312">
          <cell r="G3312" t="str">
            <v>E0026371</v>
          </cell>
          <cell r="O3312" t="str">
            <v>2025-12</v>
          </cell>
        </row>
        <row r="3313">
          <cell r="G3313" t="str">
            <v>E0028118</v>
          </cell>
          <cell r="O3313" t="str">
            <v>2026-08</v>
          </cell>
        </row>
        <row r="3314">
          <cell r="G3314" t="str">
            <v>E0028123</v>
          </cell>
          <cell r="O3314" t="str">
            <v>2026-04</v>
          </cell>
        </row>
        <row r="3315">
          <cell r="G3315" t="str">
            <v>E0028654</v>
          </cell>
          <cell r="O3315" t="str">
            <v>2026-05</v>
          </cell>
        </row>
        <row r="3316">
          <cell r="G3316" t="str">
            <v>E0029411</v>
          </cell>
          <cell r="O3316" t="str">
            <v>2025-12</v>
          </cell>
        </row>
        <row r="3317">
          <cell r="G3317" t="str">
            <v>E0029590</v>
          </cell>
          <cell r="O3317" t="str">
            <v>2026-04</v>
          </cell>
        </row>
        <row r="3318">
          <cell r="G3318" t="str">
            <v>E0029811</v>
          </cell>
          <cell r="O3318" t="str">
            <v>2026-04</v>
          </cell>
        </row>
        <row r="3319">
          <cell r="G3319" t="str">
            <v>E0030392</v>
          </cell>
          <cell r="O3319" t="str">
            <v>2026-10</v>
          </cell>
        </row>
        <row r="3320">
          <cell r="G3320" t="str">
            <v>E0030659</v>
          </cell>
          <cell r="O3320" t="str">
            <v>2025-12</v>
          </cell>
        </row>
        <row r="3321">
          <cell r="G3321" t="str">
            <v>E0031107</v>
          </cell>
          <cell r="O3321" t="str">
            <v>2026-04</v>
          </cell>
        </row>
        <row r="3322">
          <cell r="G3322" t="str">
            <v>E0031545</v>
          </cell>
          <cell r="O3322" t="str">
            <v>2026-07</v>
          </cell>
        </row>
        <row r="3323">
          <cell r="G3323" t="str">
            <v>E0032428</v>
          </cell>
          <cell r="O3323" t="str">
            <v>2026-04</v>
          </cell>
        </row>
        <row r="3324">
          <cell r="G3324" t="str">
            <v>E0032980</v>
          </cell>
          <cell r="O3324" t="str">
            <v>2025-12</v>
          </cell>
        </row>
        <row r="3325">
          <cell r="G3325" t="str">
            <v>E0033183</v>
          </cell>
          <cell r="O3325" t="str">
            <v>2025-12</v>
          </cell>
        </row>
        <row r="3326">
          <cell r="G3326" t="str">
            <v>E0033255</v>
          </cell>
          <cell r="O3326" t="str">
            <v>2026-02</v>
          </cell>
        </row>
        <row r="3327">
          <cell r="G3327" t="str">
            <v>E0034025</v>
          </cell>
          <cell r="O3327" t="str">
            <v>2026-04</v>
          </cell>
        </row>
        <row r="3328">
          <cell r="G3328" t="str">
            <v>E0035134</v>
          </cell>
          <cell r="O3328" t="str">
            <v>2026-03</v>
          </cell>
        </row>
        <row r="3329">
          <cell r="G3329" t="str">
            <v>E0036314</v>
          </cell>
          <cell r="O3329" t="str">
            <v>2025-12</v>
          </cell>
        </row>
        <row r="3330">
          <cell r="G3330" t="str">
            <v>E0037340</v>
          </cell>
          <cell r="O3330" t="str">
            <v>2026-03</v>
          </cell>
        </row>
        <row r="3331">
          <cell r="G3331" t="str">
            <v>E0037537</v>
          </cell>
          <cell r="O3331" t="str">
            <v>2026-04</v>
          </cell>
        </row>
        <row r="3332">
          <cell r="G3332" t="str">
            <v>E0037543</v>
          </cell>
          <cell r="O3332" t="str">
            <v>2026-03</v>
          </cell>
        </row>
        <row r="3333">
          <cell r="G3333" t="str">
            <v>E0038653</v>
          </cell>
          <cell r="O3333" t="str">
            <v>2026-08</v>
          </cell>
        </row>
        <row r="3334">
          <cell r="G3334" t="str">
            <v>E0038807</v>
          </cell>
          <cell r="O3334" t="str">
            <v>2026-09</v>
          </cell>
        </row>
        <row r="3335">
          <cell r="G3335" t="str">
            <v>E0038819</v>
          </cell>
          <cell r="O3335" t="str">
            <v>2026-09</v>
          </cell>
        </row>
        <row r="3336">
          <cell r="G3336" t="str">
            <v>E0039275</v>
          </cell>
          <cell r="O3336" t="str">
            <v>2026-10</v>
          </cell>
        </row>
        <row r="3337">
          <cell r="G3337" t="str">
            <v>E0026804</v>
          </cell>
          <cell r="O3337" t="str">
            <v>2026-02</v>
          </cell>
        </row>
        <row r="3338">
          <cell r="G3338" t="str">
            <v>E0027536</v>
          </cell>
          <cell r="O3338" t="str">
            <v>2026-08</v>
          </cell>
        </row>
        <row r="3339">
          <cell r="G3339" t="str">
            <v>E0028438</v>
          </cell>
          <cell r="O3339" t="str">
            <v>2026-02</v>
          </cell>
        </row>
        <row r="3340">
          <cell r="G3340" t="str">
            <v>E0028499</v>
          </cell>
          <cell r="O3340" t="str">
            <v>2026-02</v>
          </cell>
        </row>
        <row r="3341">
          <cell r="G3341" t="str">
            <v>E0033759</v>
          </cell>
          <cell r="O3341" t="str">
            <v>2026-02</v>
          </cell>
        </row>
        <row r="3342">
          <cell r="G3342" t="str">
            <v>E0034069</v>
          </cell>
          <cell r="O3342" t="str">
            <v>2026-04</v>
          </cell>
        </row>
        <row r="3343">
          <cell r="G3343" t="str">
            <v>E0037561</v>
          </cell>
          <cell r="O3343" t="str">
            <v>2026-03</v>
          </cell>
        </row>
        <row r="3344">
          <cell r="G3344" t="str">
            <v>E0037766</v>
          </cell>
          <cell r="O3344" t="str">
            <v>2026-04</v>
          </cell>
        </row>
        <row r="3345">
          <cell r="G3345" t="str">
            <v>BONO_MAPFRE_E_ME</v>
          </cell>
          <cell r="O3345" t="str">
            <v>2025-01</v>
          </cell>
        </row>
        <row r="3346">
          <cell r="G3346" t="str">
            <v>BONO_MAPFRE_E_MN</v>
          </cell>
          <cell r="O3346" t="str">
            <v>2026-01</v>
          </cell>
        </row>
        <row r="3347">
          <cell r="G3347">
            <v>7021210112294</v>
          </cell>
          <cell r="O3347" t="str">
            <v>2026-06</v>
          </cell>
        </row>
        <row r="3348">
          <cell r="G3348">
            <v>7021310132175</v>
          </cell>
          <cell r="O3348" t="str">
            <v>2026-10</v>
          </cell>
        </row>
        <row r="3349">
          <cell r="G3349">
            <v>7021800119633</v>
          </cell>
          <cell r="O3349" t="str">
            <v>2025-11</v>
          </cell>
        </row>
        <row r="3350">
          <cell r="G3350">
            <v>7021900011668</v>
          </cell>
          <cell r="O3350" t="str">
            <v>2026-02</v>
          </cell>
        </row>
        <row r="3351">
          <cell r="G3351">
            <v>7021900011669</v>
          </cell>
          <cell r="O3351" t="str">
            <v>2026-02</v>
          </cell>
        </row>
        <row r="3352">
          <cell r="G3352">
            <v>7022100073583</v>
          </cell>
          <cell r="O3352" t="str">
            <v>2026-07</v>
          </cell>
        </row>
        <row r="3353">
          <cell r="G3353">
            <v>7022100119514</v>
          </cell>
          <cell r="O3353" t="str">
            <v>2025-11</v>
          </cell>
        </row>
        <row r="3354">
          <cell r="G3354">
            <v>7022100146704</v>
          </cell>
          <cell r="O3354" t="str">
            <v>2026-01</v>
          </cell>
        </row>
        <row r="3355">
          <cell r="G3355">
            <v>7022200000327</v>
          </cell>
          <cell r="O3355" t="str">
            <v>2026-01</v>
          </cell>
        </row>
        <row r="3356">
          <cell r="G3356">
            <v>7022200037106</v>
          </cell>
          <cell r="O3356" t="str">
            <v>2026-04</v>
          </cell>
        </row>
        <row r="3357">
          <cell r="G3357">
            <v>7022300074580</v>
          </cell>
          <cell r="O3357" t="str">
            <v>2026-07</v>
          </cell>
        </row>
        <row r="3358">
          <cell r="G3358">
            <v>7022400150929</v>
          </cell>
          <cell r="O3358" t="str">
            <v>2025-12</v>
          </cell>
        </row>
        <row r="3359">
          <cell r="G3359">
            <v>7022400150967</v>
          </cell>
          <cell r="O3359" t="str">
            <v>2025-09</v>
          </cell>
        </row>
        <row r="3360">
          <cell r="G3360">
            <v>1005724</v>
          </cell>
          <cell r="O3360" t="str">
            <v>2026-03</v>
          </cell>
        </row>
        <row r="3361">
          <cell r="G3361">
            <v>1319397</v>
          </cell>
          <cell r="O3361" t="str">
            <v>2026-01</v>
          </cell>
        </row>
        <row r="3362">
          <cell r="G3362">
            <v>741147</v>
          </cell>
          <cell r="O3362" t="str">
            <v>2026-06</v>
          </cell>
        </row>
        <row r="3363">
          <cell r="G3363" t="str">
            <v>BONO_SANITAS_E_MN</v>
          </cell>
          <cell r="O3363" t="str">
            <v>2025-12</v>
          </cell>
        </row>
        <row r="3364">
          <cell r="G3364">
            <v>383926</v>
          </cell>
          <cell r="O3364" t="str">
            <v>2025-11</v>
          </cell>
        </row>
        <row r="3365">
          <cell r="G3365">
            <v>425559</v>
          </cell>
          <cell r="O3365" t="str">
            <v>2025-09</v>
          </cell>
        </row>
        <row r="3366">
          <cell r="G3366">
            <v>440640</v>
          </cell>
          <cell r="O3366" t="str">
            <v>2025-10</v>
          </cell>
        </row>
        <row r="3367">
          <cell r="G3367">
            <v>479774</v>
          </cell>
          <cell r="O3367" t="str">
            <v>2026-01</v>
          </cell>
        </row>
        <row r="3368">
          <cell r="G3368">
            <v>504067</v>
          </cell>
          <cell r="O3368" t="str">
            <v>2025-11</v>
          </cell>
        </row>
        <row r="3369">
          <cell r="G3369">
            <v>517521</v>
          </cell>
          <cell r="O3369" t="str">
            <v>2025-11</v>
          </cell>
        </row>
        <row r="3370">
          <cell r="G3370">
            <v>730107</v>
          </cell>
          <cell r="O3370" t="str">
            <v>2025-11</v>
          </cell>
        </row>
        <row r="3371">
          <cell r="G3371">
            <v>730140</v>
          </cell>
          <cell r="O3371" t="str">
            <v>2025-11</v>
          </cell>
        </row>
        <row r="3372">
          <cell r="G3372">
            <v>732870</v>
          </cell>
          <cell r="O3372" t="str">
            <v>2025-11</v>
          </cell>
        </row>
        <row r="3373">
          <cell r="G3373">
            <v>772912</v>
          </cell>
          <cell r="O3373" t="str">
            <v>2025-11</v>
          </cell>
        </row>
        <row r="3374">
          <cell r="G3374">
            <v>784282</v>
          </cell>
          <cell r="O3374" t="str">
            <v>2025-10</v>
          </cell>
        </row>
        <row r="3375">
          <cell r="G3375">
            <v>790597</v>
          </cell>
          <cell r="O3375" t="str">
            <v>2025-10</v>
          </cell>
        </row>
        <row r="3376">
          <cell r="G3376">
            <v>844950</v>
          </cell>
          <cell r="O3376" t="str">
            <v>2025-11</v>
          </cell>
        </row>
        <row r="3377">
          <cell r="G3377">
            <v>878511</v>
          </cell>
          <cell r="O3377" t="str">
            <v>2025-11</v>
          </cell>
        </row>
        <row r="3378">
          <cell r="G3378">
            <v>885943</v>
          </cell>
          <cell r="O3378" t="str">
            <v>2025-07</v>
          </cell>
        </row>
        <row r="3379">
          <cell r="G3379">
            <v>896108</v>
          </cell>
          <cell r="O3379" t="str">
            <v>2025-09</v>
          </cell>
        </row>
        <row r="3380">
          <cell r="G3380">
            <v>897348</v>
          </cell>
          <cell r="O3380" t="str">
            <v>2025-10</v>
          </cell>
        </row>
        <row r="3381">
          <cell r="G3381">
            <v>913279</v>
          </cell>
          <cell r="O3381" t="str">
            <v>2025-10</v>
          </cell>
        </row>
        <row r="3382">
          <cell r="G3382">
            <v>918440</v>
          </cell>
          <cell r="O3382" t="str">
            <v>2025-10</v>
          </cell>
        </row>
        <row r="3383">
          <cell r="G3383">
            <v>920326</v>
          </cell>
          <cell r="O3383" t="str">
            <v>2025-09</v>
          </cell>
        </row>
        <row r="3384">
          <cell r="G3384">
            <v>925122</v>
          </cell>
          <cell r="O3384" t="str">
            <v>2025-10</v>
          </cell>
        </row>
        <row r="3385">
          <cell r="G3385">
            <v>931134</v>
          </cell>
          <cell r="O3385" t="str">
            <v>2025-10</v>
          </cell>
        </row>
        <row r="3386">
          <cell r="G3386">
            <v>931138</v>
          </cell>
          <cell r="O3386" t="str">
            <v>2025-10</v>
          </cell>
        </row>
        <row r="3387">
          <cell r="G3387">
            <v>934411</v>
          </cell>
          <cell r="O3387" t="str">
            <v>2025-10</v>
          </cell>
        </row>
        <row r="3388">
          <cell r="G3388">
            <v>934414</v>
          </cell>
          <cell r="O3388" t="str">
            <v>2025-10</v>
          </cell>
        </row>
        <row r="3389">
          <cell r="G3389">
            <v>934418</v>
          </cell>
          <cell r="O3389" t="str">
            <v>2025-10</v>
          </cell>
        </row>
        <row r="3390">
          <cell r="G3390">
            <v>934451</v>
          </cell>
          <cell r="O3390" t="str">
            <v>2025-10</v>
          </cell>
        </row>
        <row r="3391">
          <cell r="G3391">
            <v>938010</v>
          </cell>
          <cell r="O3391" t="str">
            <v>2025-11</v>
          </cell>
        </row>
        <row r="3392">
          <cell r="G3392">
            <v>939400</v>
          </cell>
          <cell r="O3392" t="str">
            <v>2025-11</v>
          </cell>
        </row>
        <row r="3393">
          <cell r="G3393">
            <v>939405</v>
          </cell>
          <cell r="O3393" t="str">
            <v>2025-11</v>
          </cell>
        </row>
        <row r="3394">
          <cell r="G3394">
            <v>612030480</v>
          </cell>
          <cell r="O3394" t="str">
            <v>2026-06</v>
          </cell>
        </row>
        <row r="3395">
          <cell r="G3395">
            <v>612034414</v>
          </cell>
          <cell r="O3395" t="str">
            <v>2026-09</v>
          </cell>
        </row>
        <row r="3396">
          <cell r="G3396">
            <v>612157052</v>
          </cell>
          <cell r="O3396" t="str">
            <v>2026-06</v>
          </cell>
        </row>
        <row r="3397">
          <cell r="G3397">
            <v>612164168</v>
          </cell>
          <cell r="O3397" t="str">
            <v>2025-12</v>
          </cell>
        </row>
        <row r="3398">
          <cell r="G3398">
            <v>6110833</v>
          </cell>
          <cell r="O3398" t="str">
            <v>2026-01</v>
          </cell>
        </row>
        <row r="3399">
          <cell r="G3399">
            <v>612167218</v>
          </cell>
          <cell r="O3399" t="str">
            <v>2026-01</v>
          </cell>
        </row>
        <row r="3400">
          <cell r="G3400">
            <v>70007055</v>
          </cell>
          <cell r="O3400" t="str">
            <v>2026-01</v>
          </cell>
        </row>
        <row r="3401">
          <cell r="G3401">
            <v>5109747731</v>
          </cell>
          <cell r="O3401" t="str">
            <v>2025-09</v>
          </cell>
        </row>
        <row r="3402">
          <cell r="G3402">
            <v>5109774404</v>
          </cell>
          <cell r="O3402" t="str">
            <v>2026-05</v>
          </cell>
        </row>
        <row r="3403">
          <cell r="G3403">
            <v>5109779564</v>
          </cell>
          <cell r="O3403" t="str">
            <v>2026-05</v>
          </cell>
        </row>
        <row r="3404">
          <cell r="G3404">
            <v>510979726405</v>
          </cell>
          <cell r="O3404" t="str">
            <v>2026-06</v>
          </cell>
        </row>
        <row r="3405">
          <cell r="G3405">
            <v>510982482305</v>
          </cell>
          <cell r="O3405" t="str">
            <v>2026-08</v>
          </cell>
        </row>
        <row r="3406">
          <cell r="G3406">
            <v>510982482405</v>
          </cell>
          <cell r="O3406" t="str">
            <v>2026-08</v>
          </cell>
        </row>
        <row r="3407">
          <cell r="G3407">
            <v>510984653605</v>
          </cell>
          <cell r="O3407" t="str">
            <v>2026-09</v>
          </cell>
        </row>
        <row r="3408">
          <cell r="G3408">
            <v>510985394905</v>
          </cell>
          <cell r="O3408" t="str">
            <v>2025-10</v>
          </cell>
        </row>
        <row r="3409">
          <cell r="G3409">
            <v>51098542580</v>
          </cell>
          <cell r="O3409" t="str">
            <v>2025-10</v>
          </cell>
        </row>
        <row r="3410">
          <cell r="G3410">
            <v>510985575905</v>
          </cell>
          <cell r="O3410" t="str">
            <v>2025-10</v>
          </cell>
        </row>
        <row r="3411">
          <cell r="G3411">
            <v>510985576105</v>
          </cell>
          <cell r="O3411" t="str">
            <v>2025-10</v>
          </cell>
        </row>
        <row r="3412">
          <cell r="G3412">
            <v>510985636505</v>
          </cell>
          <cell r="O3412" t="str">
            <v>2025-10</v>
          </cell>
        </row>
        <row r="3413">
          <cell r="G3413">
            <v>9529</v>
          </cell>
          <cell r="O3413" t="str">
            <v>2026-02</v>
          </cell>
        </row>
        <row r="3414">
          <cell r="G3414">
            <v>9792</v>
          </cell>
          <cell r="O3414" t="str">
            <v>2026-04</v>
          </cell>
        </row>
        <row r="3415">
          <cell r="G3415">
            <v>10162</v>
          </cell>
          <cell r="O3415" t="str">
            <v>2026-09</v>
          </cell>
        </row>
        <row r="3416">
          <cell r="G3416">
            <v>10171</v>
          </cell>
          <cell r="O3416" t="str">
            <v>2026-09</v>
          </cell>
        </row>
        <row r="3417">
          <cell r="G3417">
            <v>10290</v>
          </cell>
          <cell r="O3417" t="str">
            <v>2026-09</v>
          </cell>
        </row>
        <row r="3418">
          <cell r="G3418">
            <v>10300</v>
          </cell>
          <cell r="O3418" t="str">
            <v>2026-09</v>
          </cell>
        </row>
        <row r="3419">
          <cell r="G3419">
            <v>9694</v>
          </cell>
          <cell r="O3419" t="str">
            <v>2025-06</v>
          </cell>
        </row>
        <row r="3420">
          <cell r="G3420">
            <v>10710</v>
          </cell>
          <cell r="O3420" t="str">
            <v>2026-05</v>
          </cell>
        </row>
        <row r="3421">
          <cell r="G3421">
            <v>10938</v>
          </cell>
          <cell r="O3421" t="str">
            <v>2026-05</v>
          </cell>
        </row>
        <row r="3422">
          <cell r="G3422">
            <v>11398</v>
          </cell>
          <cell r="O3422" t="str">
            <v>2026-09</v>
          </cell>
        </row>
        <row r="3423">
          <cell r="G3423">
            <v>11417</v>
          </cell>
          <cell r="O3423" t="str">
            <v>2026-09</v>
          </cell>
        </row>
        <row r="3424">
          <cell r="G3424">
            <v>11512</v>
          </cell>
          <cell r="O3424" t="str">
            <v>2026-10</v>
          </cell>
        </row>
        <row r="3425">
          <cell r="G3425">
            <v>1836</v>
          </cell>
          <cell r="O3425" t="str">
            <v>2026-09</v>
          </cell>
        </row>
        <row r="3426">
          <cell r="G3426">
            <v>171765</v>
          </cell>
          <cell r="O3426" t="str">
            <v>2026-01</v>
          </cell>
        </row>
        <row r="3427">
          <cell r="G3427">
            <v>171766</v>
          </cell>
          <cell r="O3427" t="str">
            <v>2026-01</v>
          </cell>
        </row>
        <row r="3428">
          <cell r="G3428">
            <v>10799</v>
          </cell>
          <cell r="O3428" t="str">
            <v>2026-05</v>
          </cell>
        </row>
        <row r="3429">
          <cell r="G3429">
            <v>5702025000001</v>
          </cell>
          <cell r="O3429" t="str">
            <v>2026-01</v>
          </cell>
        </row>
        <row r="3430">
          <cell r="G3430">
            <v>3012025038202</v>
          </cell>
          <cell r="O3430" t="str">
            <v>2025-12</v>
          </cell>
        </row>
        <row r="3431">
          <cell r="G3431" t="str">
            <v>P3012024047812</v>
          </cell>
          <cell r="O3431" t="str">
            <v>2025-12</v>
          </cell>
        </row>
        <row r="3432">
          <cell r="G3432" t="str">
            <v>42-00006-5</v>
          </cell>
          <cell r="O3432" t="str">
            <v>2026-04</v>
          </cell>
        </row>
        <row r="3433">
          <cell r="G3433" t="str">
            <v>TE-000137-0</v>
          </cell>
          <cell r="O3433" t="str">
            <v>2036-09</v>
          </cell>
        </row>
        <row r="3434">
          <cell r="G3434" t="str">
            <v>TE-000160-0</v>
          </cell>
          <cell r="O3434" t="str">
            <v>2037-02</v>
          </cell>
        </row>
        <row r="3435">
          <cell r="G3435" t="str">
            <v>TE-000604-0</v>
          </cell>
          <cell r="O3435" t="str">
            <v>2050-03</v>
          </cell>
        </row>
        <row r="3436">
          <cell r="G3436" t="str">
            <v>TE-000622-0</v>
          </cell>
          <cell r="O3436" t="str">
            <v>2035-03</v>
          </cell>
        </row>
        <row r="3437">
          <cell r="G3437" t="str">
            <v>ABN085</v>
          </cell>
          <cell r="O3437" t="str">
            <v>2026-02</v>
          </cell>
        </row>
        <row r="3438">
          <cell r="G3438" t="str">
            <v>BDQ617</v>
          </cell>
          <cell r="O3438" t="str">
            <v>2026-07</v>
          </cell>
        </row>
        <row r="3439">
          <cell r="G3439" t="str">
            <v>BZK272</v>
          </cell>
          <cell r="O3439" t="str">
            <v>2025-10</v>
          </cell>
        </row>
        <row r="3440">
          <cell r="G3440" t="str">
            <v>RTA0T205</v>
          </cell>
          <cell r="O3440" t="str">
            <v>2025-12</v>
          </cell>
        </row>
        <row r="3441">
          <cell r="G3441" t="str">
            <v>RTA3T919</v>
          </cell>
          <cell r="O3441" t="str">
            <v>2026-05</v>
          </cell>
        </row>
        <row r="3442">
          <cell r="G3442" t="str">
            <v>RTA4Q396</v>
          </cell>
          <cell r="O3442" t="str">
            <v>2025-12</v>
          </cell>
        </row>
        <row r="3443">
          <cell r="G3443" t="str">
            <v>RTA4W359</v>
          </cell>
          <cell r="O3443" t="str">
            <v>2026-03</v>
          </cell>
        </row>
        <row r="3444">
          <cell r="G3444" t="str">
            <v>RTA6M258</v>
          </cell>
          <cell r="O3444" t="str">
            <v>2026-04</v>
          </cell>
        </row>
        <row r="3445">
          <cell r="G3445" t="str">
            <v>RTA6R501</v>
          </cell>
          <cell r="O3445" t="str">
            <v>2026-08</v>
          </cell>
        </row>
        <row r="3446">
          <cell r="G3446" t="str">
            <v>RTAAH722</v>
          </cell>
          <cell r="O3446" t="str">
            <v>2026-02</v>
          </cell>
        </row>
        <row r="3447">
          <cell r="G3447" t="str">
            <v>RTAAX422</v>
          </cell>
          <cell r="O3447" t="str">
            <v>2025-12</v>
          </cell>
        </row>
        <row r="3448">
          <cell r="G3448" t="str">
            <v>RTABN085</v>
          </cell>
          <cell r="O3448" t="str">
            <v>2025-12</v>
          </cell>
        </row>
        <row r="3449">
          <cell r="G3449" t="str">
            <v>RTAFL791</v>
          </cell>
          <cell r="O3449" t="str">
            <v>2025-12</v>
          </cell>
        </row>
        <row r="3450">
          <cell r="G3450" t="str">
            <v>RTAFU050</v>
          </cell>
          <cell r="O3450" t="str">
            <v>2026-01</v>
          </cell>
        </row>
        <row r="3451">
          <cell r="G3451" t="str">
            <v>RTAJF064</v>
          </cell>
          <cell r="O3451" t="str">
            <v>2026-02</v>
          </cell>
        </row>
        <row r="3452">
          <cell r="G3452" t="str">
            <v>RTALL094</v>
          </cell>
          <cell r="O3452" t="str">
            <v>2025-12</v>
          </cell>
        </row>
        <row r="3453">
          <cell r="G3453" t="str">
            <v>RTAMK883</v>
          </cell>
          <cell r="O3453" t="str">
            <v>2026-07</v>
          </cell>
        </row>
        <row r="3454">
          <cell r="G3454" t="str">
            <v>RTANF671</v>
          </cell>
          <cell r="O3454" t="str">
            <v>2026-05</v>
          </cell>
        </row>
        <row r="3455">
          <cell r="G3455" t="str">
            <v>RTANK428</v>
          </cell>
          <cell r="O3455" t="str">
            <v>2025-12</v>
          </cell>
        </row>
        <row r="3456">
          <cell r="G3456" t="str">
            <v>RTAPN501</v>
          </cell>
          <cell r="O3456" t="str">
            <v>2026-03</v>
          </cell>
        </row>
        <row r="3457">
          <cell r="G3457" t="str">
            <v>RTATN502</v>
          </cell>
          <cell r="O3457" t="str">
            <v>2026-01</v>
          </cell>
        </row>
        <row r="3458">
          <cell r="G3458" t="str">
            <v>RTATW050</v>
          </cell>
          <cell r="O3458" t="str">
            <v>2026-08</v>
          </cell>
        </row>
        <row r="3459">
          <cell r="G3459" t="str">
            <v>RTAVG035</v>
          </cell>
          <cell r="O3459" t="str">
            <v>2026-07</v>
          </cell>
        </row>
        <row r="3460">
          <cell r="G3460" t="str">
            <v>RTAVI362</v>
          </cell>
          <cell r="O3460" t="str">
            <v>2026-08</v>
          </cell>
        </row>
        <row r="3461">
          <cell r="G3461" t="str">
            <v>RTAWK336</v>
          </cell>
          <cell r="O3461" t="str">
            <v>2026-03</v>
          </cell>
        </row>
        <row r="3462">
          <cell r="G3462" t="str">
            <v>RTAWU129</v>
          </cell>
          <cell r="O3462" t="str">
            <v>2026-02</v>
          </cell>
        </row>
        <row r="3463">
          <cell r="G3463" t="str">
            <v>RTB4W159</v>
          </cell>
          <cell r="O3463" t="str">
            <v>2025-10</v>
          </cell>
        </row>
        <row r="3464">
          <cell r="G3464" t="str">
            <v>RTB5M504</v>
          </cell>
          <cell r="O3464" t="str">
            <v>2026-06</v>
          </cell>
        </row>
        <row r="3465">
          <cell r="G3465" t="str">
            <v>RTB8C336</v>
          </cell>
          <cell r="O3465" t="str">
            <v>2026-04</v>
          </cell>
        </row>
        <row r="3466">
          <cell r="G3466" t="str">
            <v>RTBAD192</v>
          </cell>
          <cell r="O3466" t="str">
            <v>2026-06</v>
          </cell>
        </row>
        <row r="3467">
          <cell r="G3467" t="str">
            <v>RTBAD411</v>
          </cell>
          <cell r="O3467" t="str">
            <v>2026-08</v>
          </cell>
        </row>
        <row r="3468">
          <cell r="G3468" t="str">
            <v>RTBAI067</v>
          </cell>
          <cell r="O3468" t="str">
            <v>2026-02</v>
          </cell>
        </row>
        <row r="3469">
          <cell r="G3469" t="str">
            <v>RTBBJ629</v>
          </cell>
          <cell r="O3469" t="str">
            <v>2026-03</v>
          </cell>
        </row>
        <row r="3470">
          <cell r="G3470" t="str">
            <v>RTBEF624</v>
          </cell>
          <cell r="O3470" t="str">
            <v>2026-02</v>
          </cell>
        </row>
        <row r="3471">
          <cell r="G3471" t="str">
            <v>RTBFB832</v>
          </cell>
          <cell r="O3471" t="str">
            <v>2026-05</v>
          </cell>
        </row>
        <row r="3472">
          <cell r="G3472" t="str">
            <v>RTBHG901</v>
          </cell>
          <cell r="O3472" t="str">
            <v>2026-02</v>
          </cell>
        </row>
        <row r="3473">
          <cell r="G3473" t="str">
            <v>RTBHO814</v>
          </cell>
          <cell r="O3473" t="str">
            <v>2026-07</v>
          </cell>
        </row>
        <row r="3474">
          <cell r="G3474" t="str">
            <v>RTBJO733</v>
          </cell>
          <cell r="O3474" t="str">
            <v>2026-05</v>
          </cell>
        </row>
        <row r="3475">
          <cell r="G3475" t="str">
            <v>RTBLF002</v>
          </cell>
          <cell r="O3475" t="str">
            <v>2026-04</v>
          </cell>
        </row>
        <row r="3476">
          <cell r="G3476" t="str">
            <v>RTBLF431</v>
          </cell>
          <cell r="O3476" t="str">
            <v>2026-03</v>
          </cell>
        </row>
        <row r="3477">
          <cell r="G3477" t="str">
            <v>RTBLT310</v>
          </cell>
          <cell r="O3477" t="str">
            <v>2026-02</v>
          </cell>
        </row>
        <row r="3478">
          <cell r="G3478" t="str">
            <v>RTBRG093</v>
          </cell>
          <cell r="O3478" t="str">
            <v>2026-08</v>
          </cell>
        </row>
        <row r="3479">
          <cell r="G3479" t="str">
            <v>RTBYA582</v>
          </cell>
          <cell r="O3479" t="str">
            <v>2025-11</v>
          </cell>
        </row>
        <row r="3480">
          <cell r="G3480" t="str">
            <v>RTBYV771</v>
          </cell>
          <cell r="O3480" t="str">
            <v>2025-11</v>
          </cell>
        </row>
        <row r="3481">
          <cell r="G3481" t="str">
            <v>RTBYW733</v>
          </cell>
          <cell r="O3481" t="str">
            <v>2025-11</v>
          </cell>
        </row>
        <row r="3482">
          <cell r="G3482" t="str">
            <v>RTC4L007</v>
          </cell>
          <cell r="O3482" t="str">
            <v>2026-02</v>
          </cell>
        </row>
        <row r="3483">
          <cell r="G3483" t="str">
            <v>RTC4L290</v>
          </cell>
          <cell r="O3483" t="str">
            <v>2026-02</v>
          </cell>
        </row>
        <row r="3484">
          <cell r="G3484" t="str">
            <v>RTC7V392</v>
          </cell>
          <cell r="O3484" t="str">
            <v>2026-02</v>
          </cell>
        </row>
        <row r="3485">
          <cell r="G3485" t="str">
            <v>RTC9Z270</v>
          </cell>
          <cell r="O3485" t="str">
            <v>2026-07</v>
          </cell>
        </row>
        <row r="3486">
          <cell r="G3486" t="str">
            <v>RTC9Z588</v>
          </cell>
          <cell r="O3486" t="str">
            <v>2026-08</v>
          </cell>
        </row>
        <row r="3487">
          <cell r="G3487" t="str">
            <v>RTCBY216</v>
          </cell>
          <cell r="O3487" t="str">
            <v>2025-10</v>
          </cell>
        </row>
        <row r="3488">
          <cell r="G3488" t="str">
            <v>RTCLK102</v>
          </cell>
          <cell r="O3488" t="str">
            <v>2026-04</v>
          </cell>
        </row>
        <row r="3489">
          <cell r="G3489" t="str">
            <v>RTD1S052</v>
          </cell>
          <cell r="O3489" t="str">
            <v>2026-01</v>
          </cell>
        </row>
        <row r="3490">
          <cell r="G3490" t="str">
            <v>RTD4D102</v>
          </cell>
          <cell r="O3490" t="str">
            <v>2026-05</v>
          </cell>
        </row>
        <row r="3491">
          <cell r="G3491" t="str">
            <v>RTD4R750</v>
          </cell>
          <cell r="O3491" t="str">
            <v>2026-08</v>
          </cell>
        </row>
        <row r="3492">
          <cell r="G3492" t="str">
            <v>RTD7Q093</v>
          </cell>
          <cell r="O3492" t="str">
            <v>2026-01</v>
          </cell>
        </row>
        <row r="3493">
          <cell r="G3493" t="str">
            <v>RTD7S114</v>
          </cell>
          <cell r="O3493" t="str">
            <v>2026-08</v>
          </cell>
        </row>
        <row r="3494">
          <cell r="G3494" t="str">
            <v>RTD8X728</v>
          </cell>
          <cell r="O3494" t="str">
            <v>2026-04</v>
          </cell>
        </row>
        <row r="3495">
          <cell r="G3495" t="str">
            <v>RTD9O438</v>
          </cell>
          <cell r="O3495" t="str">
            <v>2026-01</v>
          </cell>
        </row>
        <row r="3496">
          <cell r="G3496" t="str">
            <v>RTF1H605</v>
          </cell>
          <cell r="O3496" t="str">
            <v>2026-08</v>
          </cell>
        </row>
        <row r="3497">
          <cell r="G3497" t="str">
            <v>RTF2M566</v>
          </cell>
          <cell r="O3497" t="str">
            <v>2026-07</v>
          </cell>
        </row>
        <row r="3498">
          <cell r="G3498" t="str">
            <v>RTF3V330</v>
          </cell>
          <cell r="O3498" t="str">
            <v>2026-02</v>
          </cell>
        </row>
        <row r="3499">
          <cell r="G3499" t="str">
            <v>RTF8F665</v>
          </cell>
          <cell r="O3499" t="str">
            <v>2026-01</v>
          </cell>
        </row>
        <row r="3500">
          <cell r="G3500" t="str">
            <v>RTP3K932</v>
          </cell>
          <cell r="O3500" t="str">
            <v>2026-01</v>
          </cell>
        </row>
        <row r="3501">
          <cell r="G3501" t="str">
            <v>RTP3Z744</v>
          </cell>
          <cell r="O3501" t="str">
            <v>2026-04</v>
          </cell>
        </row>
        <row r="3502">
          <cell r="G3502" t="str">
            <v>BONO_QUALITAS</v>
          </cell>
          <cell r="O3502" t="str">
            <v>2026-01</v>
          </cell>
        </row>
        <row r="3503">
          <cell r="G3503">
            <v>70199666</v>
          </cell>
          <cell r="O3503" t="str">
            <v>2025-11</v>
          </cell>
        </row>
        <row r="3504">
          <cell r="G3504">
            <v>70202678</v>
          </cell>
          <cell r="O3504" t="str">
            <v>2025-12</v>
          </cell>
        </row>
        <row r="3505">
          <cell r="G3505">
            <v>70202848</v>
          </cell>
          <cell r="O3505" t="str">
            <v>2025-12</v>
          </cell>
        </row>
        <row r="3506">
          <cell r="G3506">
            <v>70205033</v>
          </cell>
          <cell r="O3506" t="str">
            <v>2025-12</v>
          </cell>
        </row>
        <row r="3507">
          <cell r="G3507">
            <v>70205036</v>
          </cell>
          <cell r="O3507" t="str">
            <v>2025-12</v>
          </cell>
        </row>
        <row r="3508">
          <cell r="G3508">
            <v>70205268</v>
          </cell>
          <cell r="O3508" t="str">
            <v>2025-12</v>
          </cell>
        </row>
        <row r="3509">
          <cell r="G3509">
            <v>70205825</v>
          </cell>
          <cell r="O3509" t="str">
            <v>2025-12</v>
          </cell>
        </row>
        <row r="3510">
          <cell r="G3510">
            <v>70205965</v>
          </cell>
          <cell r="O3510" t="str">
            <v>2026-01</v>
          </cell>
        </row>
        <row r="3511">
          <cell r="G3511">
            <v>70206469</v>
          </cell>
          <cell r="O3511" t="str">
            <v>2026-01</v>
          </cell>
        </row>
        <row r="3512">
          <cell r="G3512">
            <v>70208890</v>
          </cell>
          <cell r="O3512" t="str">
            <v>2026-01</v>
          </cell>
        </row>
        <row r="3513">
          <cell r="G3513">
            <v>70210279</v>
          </cell>
          <cell r="O3513" t="str">
            <v>2026-01</v>
          </cell>
        </row>
        <row r="3514">
          <cell r="G3514">
            <v>70210621</v>
          </cell>
          <cell r="O3514" t="str">
            <v>2026-02</v>
          </cell>
        </row>
        <row r="3515">
          <cell r="G3515">
            <v>70210622</v>
          </cell>
          <cell r="O3515" t="str">
            <v>2026-02</v>
          </cell>
        </row>
        <row r="3516">
          <cell r="G3516">
            <v>70210624</v>
          </cell>
          <cell r="O3516" t="str">
            <v>2026-02</v>
          </cell>
        </row>
        <row r="3517">
          <cell r="G3517">
            <v>70211655</v>
          </cell>
          <cell r="O3517" t="str">
            <v>2026-02</v>
          </cell>
        </row>
        <row r="3518">
          <cell r="G3518">
            <v>70215071</v>
          </cell>
          <cell r="O3518" t="str">
            <v>2026-03</v>
          </cell>
        </row>
        <row r="3519">
          <cell r="G3519">
            <v>70215075</v>
          </cell>
          <cell r="O3519" t="str">
            <v>2026-03</v>
          </cell>
        </row>
        <row r="3520">
          <cell r="G3520">
            <v>70215090</v>
          </cell>
          <cell r="O3520" t="str">
            <v>2026-03</v>
          </cell>
        </row>
        <row r="3521">
          <cell r="G3521">
            <v>70215330</v>
          </cell>
          <cell r="O3521" t="str">
            <v>2026-03</v>
          </cell>
        </row>
        <row r="3522">
          <cell r="G3522">
            <v>70215658</v>
          </cell>
          <cell r="O3522" t="str">
            <v>2026-03</v>
          </cell>
        </row>
        <row r="3523">
          <cell r="G3523">
            <v>70216028</v>
          </cell>
          <cell r="O3523" t="str">
            <v>2026-03</v>
          </cell>
        </row>
        <row r="3524">
          <cell r="G3524">
            <v>70216357</v>
          </cell>
          <cell r="O3524" t="str">
            <v>2026-03</v>
          </cell>
        </row>
        <row r="3525">
          <cell r="G3525">
            <v>70216392</v>
          </cell>
          <cell r="O3525" t="str">
            <v>2026-03</v>
          </cell>
        </row>
        <row r="3526">
          <cell r="G3526">
            <v>70216404</v>
          </cell>
          <cell r="O3526" t="str">
            <v>2026-03</v>
          </cell>
        </row>
        <row r="3527">
          <cell r="G3527">
            <v>70216583</v>
          </cell>
          <cell r="O3527" t="str">
            <v>2026-03</v>
          </cell>
        </row>
        <row r="3528">
          <cell r="G3528">
            <v>70216591</v>
          </cell>
          <cell r="O3528" t="str">
            <v>2026-03</v>
          </cell>
        </row>
        <row r="3529">
          <cell r="G3529">
            <v>70218288</v>
          </cell>
          <cell r="O3529" t="str">
            <v>2026-03</v>
          </cell>
        </row>
        <row r="3530">
          <cell r="G3530">
            <v>70219969</v>
          </cell>
          <cell r="O3530" t="str">
            <v>2026-03</v>
          </cell>
        </row>
        <row r="3531">
          <cell r="G3531">
            <v>70219971</v>
          </cell>
          <cell r="O3531" t="str">
            <v>2026-03</v>
          </cell>
        </row>
        <row r="3532">
          <cell r="G3532">
            <v>70221730</v>
          </cell>
          <cell r="O3532" t="str">
            <v>2026-04</v>
          </cell>
        </row>
        <row r="3533">
          <cell r="G3533">
            <v>70225067</v>
          </cell>
          <cell r="O3533" t="str">
            <v>2026-05</v>
          </cell>
        </row>
        <row r="3534">
          <cell r="G3534">
            <v>70225072</v>
          </cell>
          <cell r="O3534" t="str">
            <v>2026-05</v>
          </cell>
        </row>
        <row r="3535">
          <cell r="G3535">
            <v>70225078</v>
          </cell>
          <cell r="O3535" t="str">
            <v>2026-05</v>
          </cell>
        </row>
        <row r="3536">
          <cell r="G3536">
            <v>70225084</v>
          </cell>
          <cell r="O3536" t="str">
            <v>2026-05</v>
          </cell>
        </row>
        <row r="3537">
          <cell r="G3537">
            <v>70225636</v>
          </cell>
          <cell r="O3537" t="str">
            <v>2026-05</v>
          </cell>
        </row>
        <row r="3538">
          <cell r="G3538">
            <v>70225903</v>
          </cell>
          <cell r="O3538" t="str">
            <v>2026-05</v>
          </cell>
        </row>
        <row r="3539">
          <cell r="G3539">
            <v>70225905</v>
          </cell>
          <cell r="O3539" t="str">
            <v>2026-05</v>
          </cell>
        </row>
        <row r="3540">
          <cell r="G3540">
            <v>70227874</v>
          </cell>
          <cell r="O3540" t="str">
            <v>2026-05</v>
          </cell>
        </row>
        <row r="3541">
          <cell r="G3541">
            <v>70228204</v>
          </cell>
          <cell r="O3541" t="str">
            <v>2026-06</v>
          </cell>
        </row>
        <row r="3542">
          <cell r="G3542">
            <v>70228301</v>
          </cell>
          <cell r="O3542" t="str">
            <v>2026-05</v>
          </cell>
        </row>
        <row r="3543">
          <cell r="G3543">
            <v>70228554</v>
          </cell>
          <cell r="O3543" t="str">
            <v>2026-05</v>
          </cell>
        </row>
        <row r="3544">
          <cell r="G3544">
            <v>70228666</v>
          </cell>
          <cell r="O3544" t="str">
            <v>2026-05</v>
          </cell>
        </row>
        <row r="3545">
          <cell r="G3545">
            <v>70229950</v>
          </cell>
          <cell r="O3545" t="str">
            <v>2026-05</v>
          </cell>
        </row>
        <row r="3546">
          <cell r="G3546">
            <v>70230348</v>
          </cell>
          <cell r="O3546" t="str">
            <v>2026-06</v>
          </cell>
        </row>
        <row r="3547">
          <cell r="G3547">
            <v>70231527</v>
          </cell>
          <cell r="O3547" t="str">
            <v>2026-07</v>
          </cell>
        </row>
        <row r="3548">
          <cell r="G3548">
            <v>70232229</v>
          </cell>
          <cell r="O3548" t="str">
            <v>2026-06</v>
          </cell>
        </row>
        <row r="3549">
          <cell r="G3549">
            <v>70233875</v>
          </cell>
          <cell r="O3549" t="str">
            <v>2026-06</v>
          </cell>
        </row>
        <row r="3550">
          <cell r="G3550">
            <v>70234004</v>
          </cell>
          <cell r="O3550" t="str">
            <v>2026-06</v>
          </cell>
        </row>
        <row r="3551">
          <cell r="G3551">
            <v>70234939</v>
          </cell>
          <cell r="O3551" t="str">
            <v>2026-07</v>
          </cell>
        </row>
        <row r="3552">
          <cell r="G3552">
            <v>70235044</v>
          </cell>
          <cell r="O3552" t="str">
            <v>2026-07</v>
          </cell>
        </row>
        <row r="3553">
          <cell r="G3553">
            <v>70235096</v>
          </cell>
          <cell r="O3553" t="str">
            <v>2026-07</v>
          </cell>
        </row>
        <row r="3554">
          <cell r="G3554">
            <v>70235101</v>
          </cell>
          <cell r="O3554" t="str">
            <v>2026-07</v>
          </cell>
        </row>
        <row r="3555">
          <cell r="G3555">
            <v>70235228</v>
          </cell>
          <cell r="O3555" t="str">
            <v>2026-07</v>
          </cell>
        </row>
        <row r="3556">
          <cell r="G3556">
            <v>70235231</v>
          </cell>
          <cell r="O3556" t="str">
            <v>2026-07</v>
          </cell>
        </row>
        <row r="3557">
          <cell r="G3557">
            <v>70235238</v>
          </cell>
          <cell r="O3557" t="str">
            <v>2026-07</v>
          </cell>
        </row>
        <row r="3558">
          <cell r="G3558">
            <v>70235398</v>
          </cell>
          <cell r="O3558" t="str">
            <v>2026-07</v>
          </cell>
        </row>
        <row r="3559">
          <cell r="G3559">
            <v>70239812</v>
          </cell>
          <cell r="O3559" t="str">
            <v>2026-07</v>
          </cell>
        </row>
        <row r="3560">
          <cell r="G3560">
            <v>70240304</v>
          </cell>
          <cell r="O3560" t="str">
            <v>2026-08</v>
          </cell>
        </row>
        <row r="3561">
          <cell r="G3561">
            <v>70240307</v>
          </cell>
          <cell r="O3561" t="str">
            <v>2026-08</v>
          </cell>
        </row>
        <row r="3562">
          <cell r="G3562">
            <v>70240448</v>
          </cell>
          <cell r="O3562" t="str">
            <v>2026-08</v>
          </cell>
        </row>
        <row r="3563">
          <cell r="G3563">
            <v>70241316</v>
          </cell>
          <cell r="O3563" t="str">
            <v>2026-08</v>
          </cell>
        </row>
        <row r="3564">
          <cell r="G3564">
            <v>70241346</v>
          </cell>
          <cell r="O3564" t="str">
            <v>2026-08</v>
          </cell>
        </row>
        <row r="3565">
          <cell r="G3565">
            <v>70242339</v>
          </cell>
          <cell r="O3565" t="str">
            <v>2026-08</v>
          </cell>
        </row>
        <row r="3566">
          <cell r="G3566">
            <v>70243945</v>
          </cell>
          <cell r="O3566" t="str">
            <v>2026-08</v>
          </cell>
        </row>
        <row r="3567">
          <cell r="G3567">
            <v>70246371</v>
          </cell>
          <cell r="O3567" t="str">
            <v>2026-09</v>
          </cell>
        </row>
        <row r="3568">
          <cell r="G3568">
            <v>70246846</v>
          </cell>
          <cell r="O3568" t="str">
            <v>2026-09</v>
          </cell>
        </row>
        <row r="3569">
          <cell r="G3569">
            <v>70248230</v>
          </cell>
          <cell r="O3569" t="str">
            <v>2026-09</v>
          </cell>
        </row>
        <row r="3570">
          <cell r="G3570">
            <v>70248232</v>
          </cell>
          <cell r="O3570" t="str">
            <v>2026-09</v>
          </cell>
        </row>
        <row r="3571">
          <cell r="G3571">
            <v>70248244</v>
          </cell>
          <cell r="O3571" t="str">
            <v>2026-09</v>
          </cell>
        </row>
        <row r="3572">
          <cell r="G3572">
            <v>70248245</v>
          </cell>
          <cell r="O3572" t="str">
            <v>2026-09</v>
          </cell>
        </row>
        <row r="3573">
          <cell r="G3573">
            <v>70248247</v>
          </cell>
          <cell r="O3573" t="str">
            <v>2026-09</v>
          </cell>
        </row>
        <row r="3574">
          <cell r="G3574">
            <v>70248250</v>
          </cell>
          <cell r="O3574" t="str">
            <v>2026-09</v>
          </cell>
        </row>
        <row r="3575">
          <cell r="G3575">
            <v>70248252</v>
          </cell>
          <cell r="O3575" t="str">
            <v>2026-09</v>
          </cell>
        </row>
        <row r="3576">
          <cell r="G3576">
            <v>70248254</v>
          </cell>
          <cell r="O3576" t="str">
            <v>2026-09</v>
          </cell>
        </row>
        <row r="3577">
          <cell r="G3577">
            <v>70249029</v>
          </cell>
          <cell r="O3577" t="str">
            <v>2026-09</v>
          </cell>
        </row>
        <row r="3578">
          <cell r="G3578">
            <v>70249064</v>
          </cell>
          <cell r="O3578" t="str">
            <v>2026-09</v>
          </cell>
        </row>
        <row r="3579">
          <cell r="G3579">
            <v>70249928</v>
          </cell>
          <cell r="O3579" t="str">
            <v>2026-10</v>
          </cell>
        </row>
        <row r="3580">
          <cell r="G3580">
            <v>80026997</v>
          </cell>
          <cell r="O3580" t="str">
            <v>2026-10</v>
          </cell>
        </row>
        <row r="3581">
          <cell r="G3581">
            <v>80026998</v>
          </cell>
          <cell r="O3581" t="str">
            <v>2026-10</v>
          </cell>
        </row>
        <row r="3582">
          <cell r="G3582">
            <v>3022500119045</v>
          </cell>
          <cell r="O3582" t="str">
            <v>2026-03</v>
          </cell>
        </row>
        <row r="3583">
          <cell r="G3583">
            <v>3022500119131</v>
          </cell>
          <cell r="O3583" t="str">
            <v>2026-03</v>
          </cell>
        </row>
        <row r="3584">
          <cell r="G3584">
            <v>70197892</v>
          </cell>
          <cell r="O3584" t="str">
            <v>2026-01</v>
          </cell>
        </row>
        <row r="3585">
          <cell r="G3585">
            <v>70197913</v>
          </cell>
          <cell r="O3585" t="str">
            <v>2026-01</v>
          </cell>
        </row>
        <row r="3586">
          <cell r="G3586">
            <v>70197962</v>
          </cell>
          <cell r="O3586" t="str">
            <v>2026-01</v>
          </cell>
        </row>
        <row r="3587">
          <cell r="G3587">
            <v>70202530</v>
          </cell>
          <cell r="O3587" t="str">
            <v>2026-02</v>
          </cell>
        </row>
        <row r="3588">
          <cell r="G3588">
            <v>70202550</v>
          </cell>
          <cell r="O3588" t="str">
            <v>2026-01</v>
          </cell>
        </row>
        <row r="3589">
          <cell r="G3589">
            <v>70202688</v>
          </cell>
          <cell r="O3589" t="str">
            <v>2026-02</v>
          </cell>
        </row>
        <row r="3590">
          <cell r="G3590">
            <v>70202784</v>
          </cell>
          <cell r="O3590" t="str">
            <v>2026-02</v>
          </cell>
        </row>
        <row r="3591">
          <cell r="G3591">
            <v>70203067</v>
          </cell>
          <cell r="O3591" t="str">
            <v>2025-12</v>
          </cell>
        </row>
        <row r="3592">
          <cell r="G3592">
            <v>70203836</v>
          </cell>
          <cell r="O3592" t="str">
            <v>2025-12</v>
          </cell>
        </row>
        <row r="3593">
          <cell r="G3593">
            <v>70204689</v>
          </cell>
          <cell r="O3593" t="str">
            <v>2026-01</v>
          </cell>
        </row>
        <row r="3594">
          <cell r="G3594">
            <v>70204810</v>
          </cell>
          <cell r="O3594" t="str">
            <v>2025-12</v>
          </cell>
        </row>
        <row r="3595">
          <cell r="G3595">
            <v>70205169</v>
          </cell>
          <cell r="O3595" t="str">
            <v>2025-12</v>
          </cell>
        </row>
        <row r="3596">
          <cell r="G3596">
            <v>70205691</v>
          </cell>
          <cell r="O3596" t="str">
            <v>2026-01</v>
          </cell>
        </row>
        <row r="3597">
          <cell r="G3597">
            <v>70206640</v>
          </cell>
          <cell r="O3597" t="str">
            <v>2026-02</v>
          </cell>
        </row>
        <row r="3598">
          <cell r="G3598">
            <v>70206680</v>
          </cell>
          <cell r="O3598" t="str">
            <v>2026-03</v>
          </cell>
        </row>
        <row r="3599">
          <cell r="G3599">
            <v>70207494</v>
          </cell>
          <cell r="O3599" t="str">
            <v>2026-01</v>
          </cell>
        </row>
        <row r="3600">
          <cell r="G3600">
            <v>70208168</v>
          </cell>
          <cell r="O3600" t="str">
            <v>2026-01</v>
          </cell>
        </row>
        <row r="3601">
          <cell r="G3601">
            <v>70210061</v>
          </cell>
          <cell r="O3601" t="str">
            <v>2026-01</v>
          </cell>
        </row>
        <row r="3602">
          <cell r="G3602">
            <v>70210320</v>
          </cell>
          <cell r="O3602" t="str">
            <v>2026-01</v>
          </cell>
        </row>
        <row r="3603">
          <cell r="G3603">
            <v>70210533</v>
          </cell>
          <cell r="O3603" t="str">
            <v>2026-02</v>
          </cell>
        </row>
        <row r="3604">
          <cell r="G3604">
            <v>70210547</v>
          </cell>
          <cell r="O3604" t="str">
            <v>2026-02</v>
          </cell>
        </row>
        <row r="3605">
          <cell r="G3605">
            <v>70210553</v>
          </cell>
          <cell r="O3605" t="str">
            <v>2026-02</v>
          </cell>
        </row>
        <row r="3606">
          <cell r="G3606">
            <v>70210563</v>
          </cell>
          <cell r="O3606" t="str">
            <v>2026-02</v>
          </cell>
        </row>
        <row r="3607">
          <cell r="G3607">
            <v>70210580</v>
          </cell>
          <cell r="O3607" t="str">
            <v>2026-02</v>
          </cell>
        </row>
        <row r="3608">
          <cell r="G3608">
            <v>70210603</v>
          </cell>
          <cell r="O3608" t="str">
            <v>2026-03</v>
          </cell>
        </row>
        <row r="3609">
          <cell r="G3609">
            <v>70210633</v>
          </cell>
          <cell r="O3609" t="str">
            <v>2026-03</v>
          </cell>
        </row>
        <row r="3610">
          <cell r="G3610">
            <v>70210636</v>
          </cell>
          <cell r="O3610" t="str">
            <v>2026-03</v>
          </cell>
        </row>
        <row r="3611">
          <cell r="G3611">
            <v>70210639</v>
          </cell>
          <cell r="O3611" t="str">
            <v>2026-03</v>
          </cell>
        </row>
        <row r="3612">
          <cell r="G3612">
            <v>70211296</v>
          </cell>
          <cell r="O3612" t="str">
            <v>2026-02</v>
          </cell>
        </row>
        <row r="3613">
          <cell r="G3613">
            <v>70211778</v>
          </cell>
          <cell r="O3613" t="str">
            <v>2026-04</v>
          </cell>
        </row>
        <row r="3614">
          <cell r="G3614">
            <v>70211871</v>
          </cell>
          <cell r="O3614" t="str">
            <v>2026-02</v>
          </cell>
        </row>
        <row r="3615">
          <cell r="G3615">
            <v>70212205</v>
          </cell>
          <cell r="O3615" t="str">
            <v>2026-04</v>
          </cell>
        </row>
        <row r="3616">
          <cell r="G3616">
            <v>70212979</v>
          </cell>
          <cell r="O3616" t="str">
            <v>2026-04</v>
          </cell>
        </row>
        <row r="3617">
          <cell r="G3617">
            <v>70213154</v>
          </cell>
          <cell r="O3617" t="str">
            <v>2026-04</v>
          </cell>
        </row>
        <row r="3618">
          <cell r="G3618">
            <v>70213198</v>
          </cell>
          <cell r="O3618" t="str">
            <v>2026-04</v>
          </cell>
        </row>
        <row r="3619">
          <cell r="G3619">
            <v>70214845</v>
          </cell>
          <cell r="O3619" t="str">
            <v>2026-02</v>
          </cell>
        </row>
        <row r="3620">
          <cell r="G3620">
            <v>70215251</v>
          </cell>
          <cell r="O3620" t="str">
            <v>2026-03</v>
          </cell>
        </row>
        <row r="3621">
          <cell r="G3621">
            <v>70215265</v>
          </cell>
          <cell r="O3621" t="str">
            <v>2026-02</v>
          </cell>
        </row>
        <row r="3622">
          <cell r="G3622">
            <v>70216424</v>
          </cell>
          <cell r="O3622" t="str">
            <v>2026-03</v>
          </cell>
        </row>
        <row r="3623">
          <cell r="G3623">
            <v>70216538</v>
          </cell>
          <cell r="O3623" t="str">
            <v>2026-01</v>
          </cell>
        </row>
        <row r="3624">
          <cell r="G3624">
            <v>70216683</v>
          </cell>
          <cell r="O3624" t="str">
            <v>2026-05</v>
          </cell>
        </row>
        <row r="3625">
          <cell r="G3625">
            <v>70216772</v>
          </cell>
          <cell r="O3625" t="str">
            <v>2026-04</v>
          </cell>
        </row>
        <row r="3626">
          <cell r="G3626">
            <v>70216777</v>
          </cell>
          <cell r="O3626" t="str">
            <v>2026-04</v>
          </cell>
        </row>
        <row r="3627">
          <cell r="G3627">
            <v>70217862</v>
          </cell>
          <cell r="O3627" t="str">
            <v>2026-05</v>
          </cell>
        </row>
        <row r="3628">
          <cell r="G3628">
            <v>70218063</v>
          </cell>
          <cell r="O3628" t="str">
            <v>2026-05</v>
          </cell>
        </row>
        <row r="3629">
          <cell r="G3629">
            <v>70218084</v>
          </cell>
          <cell r="O3629" t="str">
            <v>2026-05</v>
          </cell>
        </row>
        <row r="3630">
          <cell r="G3630">
            <v>70218151</v>
          </cell>
          <cell r="O3630" t="str">
            <v>2026-05</v>
          </cell>
        </row>
        <row r="3631">
          <cell r="G3631">
            <v>70218162</v>
          </cell>
          <cell r="O3631" t="str">
            <v>2026-05</v>
          </cell>
        </row>
        <row r="3632">
          <cell r="G3632">
            <v>70218356</v>
          </cell>
          <cell r="O3632" t="str">
            <v>2026-03</v>
          </cell>
        </row>
        <row r="3633">
          <cell r="G3633">
            <v>70218468</v>
          </cell>
          <cell r="O3633" t="str">
            <v>2026-05</v>
          </cell>
        </row>
        <row r="3634">
          <cell r="G3634">
            <v>70218567</v>
          </cell>
          <cell r="O3634" t="str">
            <v>2026-05</v>
          </cell>
        </row>
        <row r="3635">
          <cell r="G3635">
            <v>70218770</v>
          </cell>
          <cell r="O3635" t="str">
            <v>2026-04</v>
          </cell>
        </row>
        <row r="3636">
          <cell r="G3636">
            <v>70218826</v>
          </cell>
          <cell r="O3636" t="str">
            <v>2026-03</v>
          </cell>
        </row>
        <row r="3637">
          <cell r="G3637">
            <v>70220645</v>
          </cell>
          <cell r="O3637" t="str">
            <v>2026-04</v>
          </cell>
        </row>
        <row r="3638">
          <cell r="G3638">
            <v>70221360</v>
          </cell>
          <cell r="O3638" t="str">
            <v>2026-06</v>
          </cell>
        </row>
        <row r="3639">
          <cell r="G3639">
            <v>70223508</v>
          </cell>
          <cell r="O3639" t="str">
            <v>2026-04</v>
          </cell>
        </row>
        <row r="3640">
          <cell r="G3640">
            <v>70224394</v>
          </cell>
          <cell r="O3640" t="str">
            <v>2026-06</v>
          </cell>
        </row>
        <row r="3641">
          <cell r="G3641">
            <v>70225893</v>
          </cell>
          <cell r="O3641" t="str">
            <v>2026-07</v>
          </cell>
        </row>
        <row r="3642">
          <cell r="G3642">
            <v>70226467</v>
          </cell>
          <cell r="O3642" t="str">
            <v>2026-05</v>
          </cell>
        </row>
        <row r="3643">
          <cell r="G3643">
            <v>70227862</v>
          </cell>
          <cell r="O3643" t="str">
            <v>2026-06</v>
          </cell>
        </row>
        <row r="3644">
          <cell r="G3644">
            <v>70227867</v>
          </cell>
          <cell r="O3644" t="str">
            <v>2026-06</v>
          </cell>
        </row>
        <row r="3645">
          <cell r="G3645">
            <v>70227870</v>
          </cell>
          <cell r="O3645" t="str">
            <v>2026-06</v>
          </cell>
        </row>
        <row r="3646">
          <cell r="G3646">
            <v>70227871</v>
          </cell>
          <cell r="O3646" t="str">
            <v>2026-06</v>
          </cell>
        </row>
        <row r="3647">
          <cell r="G3647">
            <v>70227873</v>
          </cell>
          <cell r="O3647" t="str">
            <v>2026-06</v>
          </cell>
        </row>
        <row r="3648">
          <cell r="G3648">
            <v>70227899</v>
          </cell>
          <cell r="O3648" t="str">
            <v>2026-06</v>
          </cell>
        </row>
        <row r="3649">
          <cell r="G3649">
            <v>70228435</v>
          </cell>
          <cell r="O3649" t="str">
            <v>2026-05</v>
          </cell>
        </row>
        <row r="3650">
          <cell r="G3650">
            <v>70229383</v>
          </cell>
          <cell r="O3650" t="str">
            <v>2026-07</v>
          </cell>
        </row>
        <row r="3651">
          <cell r="G3651">
            <v>70229390</v>
          </cell>
          <cell r="O3651" t="str">
            <v>2026-07</v>
          </cell>
        </row>
        <row r="3652">
          <cell r="G3652">
            <v>70229392</v>
          </cell>
          <cell r="O3652" t="str">
            <v>2026-07</v>
          </cell>
        </row>
        <row r="3653">
          <cell r="G3653">
            <v>70229393</v>
          </cell>
          <cell r="O3653" t="str">
            <v>2026-07</v>
          </cell>
        </row>
        <row r="3654">
          <cell r="G3654">
            <v>70229395</v>
          </cell>
          <cell r="O3654" t="str">
            <v>2026-07</v>
          </cell>
        </row>
        <row r="3655">
          <cell r="G3655">
            <v>70229396</v>
          </cell>
          <cell r="O3655" t="str">
            <v>2026-07</v>
          </cell>
        </row>
        <row r="3656">
          <cell r="G3656">
            <v>70229458</v>
          </cell>
          <cell r="O3656" t="str">
            <v>2026-07</v>
          </cell>
        </row>
        <row r="3657">
          <cell r="G3657">
            <v>70229473</v>
          </cell>
          <cell r="O3657" t="str">
            <v>2026-07</v>
          </cell>
        </row>
        <row r="3658">
          <cell r="G3658">
            <v>70230136</v>
          </cell>
          <cell r="O3658" t="str">
            <v>2026-06</v>
          </cell>
        </row>
        <row r="3659">
          <cell r="G3659">
            <v>70230391</v>
          </cell>
          <cell r="O3659" t="str">
            <v>2026-07</v>
          </cell>
        </row>
        <row r="3660">
          <cell r="G3660">
            <v>70230847</v>
          </cell>
          <cell r="O3660" t="str">
            <v>2026-06</v>
          </cell>
        </row>
        <row r="3661">
          <cell r="G3661">
            <v>70231619</v>
          </cell>
          <cell r="O3661" t="str">
            <v>2026-08</v>
          </cell>
        </row>
        <row r="3662">
          <cell r="G3662">
            <v>70233271</v>
          </cell>
          <cell r="O3662" t="str">
            <v>2026-08</v>
          </cell>
        </row>
        <row r="3663">
          <cell r="G3663">
            <v>70233410</v>
          </cell>
          <cell r="O3663" t="str">
            <v>2026-06</v>
          </cell>
        </row>
        <row r="3664">
          <cell r="G3664">
            <v>70234203</v>
          </cell>
          <cell r="O3664" t="str">
            <v>2026-06</v>
          </cell>
        </row>
        <row r="3665">
          <cell r="G3665">
            <v>70234289</v>
          </cell>
          <cell r="O3665" t="str">
            <v>2026-06</v>
          </cell>
        </row>
        <row r="3666">
          <cell r="G3666">
            <v>70234322</v>
          </cell>
          <cell r="O3666" t="str">
            <v>2026-07</v>
          </cell>
        </row>
        <row r="3667">
          <cell r="G3667">
            <v>70234814</v>
          </cell>
          <cell r="O3667" t="str">
            <v>2026-06</v>
          </cell>
        </row>
        <row r="3668">
          <cell r="G3668">
            <v>70235857</v>
          </cell>
          <cell r="O3668" t="str">
            <v>2026-07</v>
          </cell>
        </row>
        <row r="3669">
          <cell r="G3669">
            <v>70236083</v>
          </cell>
          <cell r="O3669" t="str">
            <v>2026-08</v>
          </cell>
        </row>
        <row r="3670">
          <cell r="G3670">
            <v>70236751</v>
          </cell>
          <cell r="O3670" t="str">
            <v>2026-08</v>
          </cell>
        </row>
        <row r="3671">
          <cell r="G3671">
            <v>70237366</v>
          </cell>
          <cell r="O3671" t="str">
            <v>2026-07</v>
          </cell>
        </row>
        <row r="3672">
          <cell r="G3672">
            <v>70237747</v>
          </cell>
          <cell r="O3672" t="str">
            <v>2026-09</v>
          </cell>
        </row>
        <row r="3673">
          <cell r="G3673">
            <v>70238531</v>
          </cell>
          <cell r="O3673" t="str">
            <v>2026-08</v>
          </cell>
        </row>
        <row r="3674">
          <cell r="G3674">
            <v>70238533</v>
          </cell>
          <cell r="O3674" t="str">
            <v>2026-08</v>
          </cell>
        </row>
        <row r="3675">
          <cell r="G3675">
            <v>70238537</v>
          </cell>
          <cell r="O3675" t="str">
            <v>2026-08</v>
          </cell>
        </row>
        <row r="3676">
          <cell r="G3676">
            <v>70238544</v>
          </cell>
          <cell r="O3676" t="str">
            <v>2026-08</v>
          </cell>
        </row>
        <row r="3677">
          <cell r="G3677">
            <v>70238545</v>
          </cell>
          <cell r="O3677" t="str">
            <v>2026-08</v>
          </cell>
        </row>
        <row r="3678">
          <cell r="G3678">
            <v>70238554</v>
          </cell>
          <cell r="O3678" t="str">
            <v>2026-09</v>
          </cell>
        </row>
        <row r="3679">
          <cell r="G3679">
            <v>70238556</v>
          </cell>
          <cell r="O3679" t="str">
            <v>2026-09</v>
          </cell>
        </row>
        <row r="3680">
          <cell r="G3680">
            <v>70238557</v>
          </cell>
          <cell r="O3680" t="str">
            <v>2026-09</v>
          </cell>
        </row>
        <row r="3681">
          <cell r="G3681">
            <v>70238561</v>
          </cell>
          <cell r="O3681" t="str">
            <v>2026-09</v>
          </cell>
        </row>
        <row r="3682">
          <cell r="G3682">
            <v>70238564</v>
          </cell>
          <cell r="O3682" t="str">
            <v>2026-09</v>
          </cell>
        </row>
        <row r="3683">
          <cell r="G3683">
            <v>70238565</v>
          </cell>
          <cell r="O3683" t="str">
            <v>2026-09</v>
          </cell>
        </row>
        <row r="3684">
          <cell r="G3684">
            <v>70238568</v>
          </cell>
          <cell r="O3684" t="str">
            <v>2026-09</v>
          </cell>
        </row>
        <row r="3685">
          <cell r="G3685">
            <v>70238580</v>
          </cell>
          <cell r="O3685" t="str">
            <v>2026-09</v>
          </cell>
        </row>
        <row r="3686">
          <cell r="G3686">
            <v>70238582</v>
          </cell>
          <cell r="O3686" t="str">
            <v>2026-09</v>
          </cell>
        </row>
        <row r="3687">
          <cell r="G3687">
            <v>70238588</v>
          </cell>
          <cell r="O3687" t="str">
            <v>2026-09</v>
          </cell>
        </row>
        <row r="3688">
          <cell r="G3688">
            <v>70240992</v>
          </cell>
          <cell r="O3688" t="str">
            <v>2026-10</v>
          </cell>
        </row>
        <row r="3689">
          <cell r="G3689">
            <v>70241005</v>
          </cell>
          <cell r="O3689" t="str">
            <v>2026-08</v>
          </cell>
        </row>
        <row r="3690">
          <cell r="G3690">
            <v>70241132</v>
          </cell>
          <cell r="O3690" t="str">
            <v>2026-10</v>
          </cell>
        </row>
        <row r="3691">
          <cell r="G3691">
            <v>70242403</v>
          </cell>
          <cell r="O3691" t="str">
            <v>2026-09</v>
          </cell>
        </row>
        <row r="3692">
          <cell r="G3692">
            <v>70242585</v>
          </cell>
          <cell r="O3692" t="str">
            <v>2026-08</v>
          </cell>
        </row>
        <row r="3693">
          <cell r="G3693">
            <v>70243132</v>
          </cell>
          <cell r="O3693" t="str">
            <v>2026-10</v>
          </cell>
        </row>
        <row r="3694">
          <cell r="G3694">
            <v>70243135</v>
          </cell>
          <cell r="O3694" t="str">
            <v>2026-10</v>
          </cell>
        </row>
        <row r="3695">
          <cell r="G3695">
            <v>70243196</v>
          </cell>
          <cell r="O3695" t="str">
            <v>2026-10</v>
          </cell>
        </row>
        <row r="3696">
          <cell r="G3696">
            <v>70243201</v>
          </cell>
          <cell r="O3696" t="str">
            <v>2026-10</v>
          </cell>
        </row>
        <row r="3697">
          <cell r="G3697">
            <v>70243235</v>
          </cell>
          <cell r="O3697" t="str">
            <v>2026-08</v>
          </cell>
        </row>
        <row r="3698">
          <cell r="G3698">
            <v>70243237</v>
          </cell>
          <cell r="O3698" t="str">
            <v>2026-10</v>
          </cell>
        </row>
        <row r="3699">
          <cell r="G3699">
            <v>70243370</v>
          </cell>
          <cell r="O3699" t="str">
            <v>2026-10</v>
          </cell>
        </row>
        <row r="3700">
          <cell r="G3700">
            <v>70243468</v>
          </cell>
          <cell r="O3700" t="str">
            <v>2026-10</v>
          </cell>
        </row>
        <row r="3701">
          <cell r="G3701">
            <v>70244353</v>
          </cell>
          <cell r="O3701" t="str">
            <v>2026-09</v>
          </cell>
        </row>
        <row r="3702">
          <cell r="G3702">
            <v>70244593</v>
          </cell>
          <cell r="O3702" t="str">
            <v>2026-08</v>
          </cell>
        </row>
        <row r="3703">
          <cell r="G3703">
            <v>70245142</v>
          </cell>
          <cell r="O3703" t="str">
            <v>2026-10</v>
          </cell>
        </row>
        <row r="3704">
          <cell r="G3704">
            <v>70245144</v>
          </cell>
          <cell r="O3704" t="str">
            <v>2026-10</v>
          </cell>
        </row>
        <row r="3705">
          <cell r="G3705">
            <v>70246004</v>
          </cell>
          <cell r="O3705" t="str">
            <v>2026-09</v>
          </cell>
        </row>
        <row r="3706">
          <cell r="G3706">
            <v>70246125</v>
          </cell>
          <cell r="O3706" t="str">
            <v>2026-09</v>
          </cell>
        </row>
        <row r="3707">
          <cell r="G3707">
            <v>70246355</v>
          </cell>
          <cell r="O3707" t="str">
            <v>2026-09</v>
          </cell>
        </row>
        <row r="3708">
          <cell r="G3708">
            <v>70247716</v>
          </cell>
          <cell r="O3708" t="str">
            <v>2026-11</v>
          </cell>
        </row>
        <row r="3709">
          <cell r="G3709">
            <v>70247734</v>
          </cell>
          <cell r="O3709" t="str">
            <v>2026-11</v>
          </cell>
        </row>
        <row r="3710">
          <cell r="G3710">
            <v>70248046</v>
          </cell>
          <cell r="O3710" t="str">
            <v>2026-11</v>
          </cell>
        </row>
        <row r="3711">
          <cell r="G3711">
            <v>70248052</v>
          </cell>
          <cell r="O3711" t="str">
            <v>2026-11</v>
          </cell>
        </row>
        <row r="3712">
          <cell r="G3712">
            <v>70248060</v>
          </cell>
          <cell r="O3712" t="str">
            <v>2026-11</v>
          </cell>
        </row>
        <row r="3713">
          <cell r="G3713">
            <v>70250297</v>
          </cell>
          <cell r="O3713" t="str">
            <v>2026-11</v>
          </cell>
        </row>
        <row r="3714">
          <cell r="G3714">
            <v>70250298</v>
          </cell>
          <cell r="O3714" t="str">
            <v>2026-09</v>
          </cell>
        </row>
        <row r="3715">
          <cell r="G3715">
            <v>70250306</v>
          </cell>
          <cell r="O3715" t="str">
            <v>2026-11</v>
          </cell>
        </row>
        <row r="3716">
          <cell r="G3716">
            <v>70250323</v>
          </cell>
          <cell r="O3716" t="str">
            <v>2026-11</v>
          </cell>
        </row>
        <row r="3717">
          <cell r="G3717">
            <v>70252344</v>
          </cell>
          <cell r="O3717" t="str">
            <v>2026-11</v>
          </cell>
        </row>
        <row r="3718">
          <cell r="G3718">
            <v>70192914</v>
          </cell>
          <cell r="O3718" t="str">
            <v>2025-11</v>
          </cell>
        </row>
        <row r="3719">
          <cell r="G3719">
            <v>70192914</v>
          </cell>
          <cell r="O3719" t="str">
            <v>2025-11</v>
          </cell>
        </row>
        <row r="3720">
          <cell r="G3720">
            <v>70199921</v>
          </cell>
          <cell r="O3720" t="str">
            <v>2025-12</v>
          </cell>
        </row>
        <row r="3721">
          <cell r="G3721">
            <v>70199921</v>
          </cell>
          <cell r="O3721" t="str">
            <v>2025-12</v>
          </cell>
        </row>
        <row r="3722">
          <cell r="G3722">
            <v>70199921</v>
          </cell>
          <cell r="O3722" t="str">
            <v>2025-12</v>
          </cell>
        </row>
        <row r="3723">
          <cell r="G3723">
            <v>70199921</v>
          </cell>
          <cell r="O3723" t="str">
            <v>2025-12</v>
          </cell>
        </row>
        <row r="3724">
          <cell r="G3724">
            <v>70200833</v>
          </cell>
          <cell r="O3724" t="str">
            <v>2026-01</v>
          </cell>
        </row>
        <row r="3725">
          <cell r="G3725">
            <v>70200833</v>
          </cell>
          <cell r="O3725" t="str">
            <v>2026-01</v>
          </cell>
        </row>
        <row r="3726">
          <cell r="G3726">
            <v>70227905</v>
          </cell>
          <cell r="O3726" t="str">
            <v>2026-06</v>
          </cell>
        </row>
        <row r="3727">
          <cell r="G3727">
            <v>70230672</v>
          </cell>
          <cell r="O3727" t="str">
            <v>2026-07</v>
          </cell>
        </row>
        <row r="3728">
          <cell r="G3728">
            <v>70230672</v>
          </cell>
          <cell r="O3728" t="str">
            <v>2026-07</v>
          </cell>
        </row>
        <row r="3729">
          <cell r="G3729">
            <v>70230672</v>
          </cell>
          <cell r="O3729" t="str">
            <v>2026-07</v>
          </cell>
        </row>
        <row r="3730">
          <cell r="G3730">
            <v>70230672</v>
          </cell>
          <cell r="O3730" t="str">
            <v>2026-07</v>
          </cell>
        </row>
        <row r="3731">
          <cell r="G3731">
            <v>70230672</v>
          </cell>
          <cell r="O3731" t="str">
            <v>2026-07</v>
          </cell>
        </row>
        <row r="3732">
          <cell r="G3732">
            <v>70248432</v>
          </cell>
          <cell r="O3732" t="str">
            <v>2026-10</v>
          </cell>
        </row>
        <row r="3733">
          <cell r="G3733">
            <v>70248432</v>
          </cell>
          <cell r="O3733" t="str">
            <v>2025-10</v>
          </cell>
        </row>
        <row r="3734">
          <cell r="G3734" t="str">
            <v>A0K316</v>
          </cell>
          <cell r="O3734" t="str">
            <v>2026-03</v>
          </cell>
        </row>
        <row r="3735">
          <cell r="G3735" t="str">
            <v>A1I031</v>
          </cell>
          <cell r="O3735" t="str">
            <v>2026-02</v>
          </cell>
        </row>
        <row r="3736">
          <cell r="G3736" t="str">
            <v>A3R369</v>
          </cell>
          <cell r="O3736" t="str">
            <v>2026-07</v>
          </cell>
        </row>
        <row r="3737">
          <cell r="G3737" t="str">
            <v>A5O506</v>
          </cell>
          <cell r="O3737" t="str">
            <v>2025-12</v>
          </cell>
        </row>
        <row r="3738">
          <cell r="G3738" t="str">
            <v>A6G388</v>
          </cell>
          <cell r="O3738" t="str">
            <v>2026-08</v>
          </cell>
        </row>
        <row r="3739">
          <cell r="G3739" t="str">
            <v>A6K582</v>
          </cell>
          <cell r="O3739" t="str">
            <v>2025-12</v>
          </cell>
        </row>
        <row r="3740">
          <cell r="G3740" t="str">
            <v>A8H260</v>
          </cell>
          <cell r="O3740" t="str">
            <v>2026-07</v>
          </cell>
        </row>
        <row r="3741">
          <cell r="G3741" t="str">
            <v>A8X474</v>
          </cell>
          <cell r="O3741" t="str">
            <v>2026-05</v>
          </cell>
        </row>
        <row r="3742">
          <cell r="G3742" t="str">
            <v>A8Y336</v>
          </cell>
          <cell r="O3742" t="str">
            <v>2025-12</v>
          </cell>
        </row>
        <row r="3743">
          <cell r="G3743" t="str">
            <v>A9G370</v>
          </cell>
          <cell r="O3743" t="str">
            <v>2025-12</v>
          </cell>
        </row>
        <row r="3744">
          <cell r="G3744" t="str">
            <v>A9H353</v>
          </cell>
          <cell r="O3744" t="str">
            <v>2026-07</v>
          </cell>
        </row>
        <row r="3745">
          <cell r="G3745" t="str">
            <v>A9Z316</v>
          </cell>
          <cell r="O3745" t="str">
            <v>2026-07</v>
          </cell>
        </row>
        <row r="3746">
          <cell r="G3746" t="str">
            <v>AAU493</v>
          </cell>
          <cell r="O3746" t="str">
            <v>2026-03</v>
          </cell>
        </row>
        <row r="3747">
          <cell r="G3747" t="str">
            <v>ABH183</v>
          </cell>
          <cell r="O3747" t="str">
            <v>2026-04</v>
          </cell>
        </row>
        <row r="3748">
          <cell r="G3748" t="str">
            <v>ABI622</v>
          </cell>
          <cell r="O3748" t="str">
            <v>2026-02</v>
          </cell>
        </row>
        <row r="3749">
          <cell r="G3749" t="str">
            <v>ABW478</v>
          </cell>
          <cell r="O3749" t="str">
            <v>2025-12</v>
          </cell>
        </row>
        <row r="3750">
          <cell r="G3750" t="str">
            <v>ACU579</v>
          </cell>
          <cell r="O3750" t="str">
            <v>2026-03</v>
          </cell>
        </row>
        <row r="3751">
          <cell r="G3751" t="str">
            <v>ADC057</v>
          </cell>
          <cell r="O3751" t="str">
            <v>2026-01</v>
          </cell>
        </row>
        <row r="3752">
          <cell r="G3752" t="str">
            <v>ADC363</v>
          </cell>
          <cell r="O3752" t="str">
            <v>2026-01</v>
          </cell>
        </row>
        <row r="3753">
          <cell r="G3753" t="str">
            <v>ADX206</v>
          </cell>
          <cell r="O3753" t="str">
            <v>2026-07</v>
          </cell>
        </row>
        <row r="3754">
          <cell r="G3754" t="str">
            <v>ADZ694</v>
          </cell>
          <cell r="O3754" t="str">
            <v>2026-02</v>
          </cell>
        </row>
        <row r="3755">
          <cell r="G3755" t="str">
            <v>AEW058</v>
          </cell>
          <cell r="O3755" t="str">
            <v>2026-08</v>
          </cell>
        </row>
        <row r="3756">
          <cell r="G3756" t="str">
            <v>AEY657</v>
          </cell>
          <cell r="O3756" t="str">
            <v>2026-05</v>
          </cell>
        </row>
        <row r="3757">
          <cell r="G3757" t="str">
            <v>AFD419</v>
          </cell>
          <cell r="O3757" t="str">
            <v>2026-07</v>
          </cell>
        </row>
        <row r="3758">
          <cell r="G3758" t="str">
            <v>AFF151</v>
          </cell>
          <cell r="O3758" t="str">
            <v>2026-05</v>
          </cell>
        </row>
        <row r="3759">
          <cell r="G3759" t="str">
            <v>AFF178</v>
          </cell>
          <cell r="O3759" t="str">
            <v>2026-04</v>
          </cell>
        </row>
        <row r="3760">
          <cell r="G3760" t="str">
            <v>AFT227</v>
          </cell>
          <cell r="O3760" t="str">
            <v>2026-06</v>
          </cell>
        </row>
        <row r="3761">
          <cell r="G3761" t="str">
            <v>AFU050</v>
          </cell>
          <cell r="O3761" t="str">
            <v>2026-05</v>
          </cell>
        </row>
        <row r="3762">
          <cell r="G3762" t="str">
            <v>AHK114</v>
          </cell>
          <cell r="O3762" t="str">
            <v>2026-05</v>
          </cell>
        </row>
        <row r="3763">
          <cell r="G3763" t="str">
            <v>AJF064</v>
          </cell>
          <cell r="O3763" t="str">
            <v>2026-07</v>
          </cell>
        </row>
        <row r="3764">
          <cell r="G3764" t="str">
            <v>AJM233</v>
          </cell>
          <cell r="O3764" t="str">
            <v>2026-04</v>
          </cell>
        </row>
        <row r="3765">
          <cell r="G3765" t="str">
            <v>AKS666</v>
          </cell>
          <cell r="O3765" t="str">
            <v>2026-08</v>
          </cell>
        </row>
        <row r="3766">
          <cell r="G3766" t="str">
            <v>ALF368</v>
          </cell>
          <cell r="O3766" t="str">
            <v>2026-03</v>
          </cell>
        </row>
        <row r="3767">
          <cell r="G3767" t="str">
            <v>ALM667</v>
          </cell>
          <cell r="O3767" t="str">
            <v>2026-01</v>
          </cell>
        </row>
        <row r="3768">
          <cell r="G3768" t="str">
            <v>ALU544</v>
          </cell>
          <cell r="O3768" t="str">
            <v>2025-12</v>
          </cell>
        </row>
        <row r="3769">
          <cell r="G3769" t="str">
            <v>AMF689</v>
          </cell>
          <cell r="O3769" t="str">
            <v>2026-01</v>
          </cell>
        </row>
        <row r="3770">
          <cell r="G3770" t="str">
            <v>AMU692</v>
          </cell>
          <cell r="O3770" t="str">
            <v>2026-02</v>
          </cell>
        </row>
        <row r="3771">
          <cell r="G3771" t="str">
            <v>AMW211</v>
          </cell>
          <cell r="O3771" t="str">
            <v>2026-08</v>
          </cell>
        </row>
        <row r="3772">
          <cell r="G3772" t="str">
            <v>AMW473</v>
          </cell>
          <cell r="O3772" t="str">
            <v>2026-06</v>
          </cell>
        </row>
        <row r="3773">
          <cell r="G3773" t="str">
            <v>ANC513</v>
          </cell>
          <cell r="O3773" t="str">
            <v>2026-05</v>
          </cell>
        </row>
        <row r="3774">
          <cell r="G3774" t="str">
            <v>ANE154</v>
          </cell>
          <cell r="O3774" t="str">
            <v>2026-06</v>
          </cell>
        </row>
        <row r="3775">
          <cell r="G3775" t="str">
            <v>ANF123</v>
          </cell>
          <cell r="O3775" t="str">
            <v>2026-02</v>
          </cell>
        </row>
        <row r="3776">
          <cell r="G3776" t="str">
            <v>APE241</v>
          </cell>
          <cell r="O3776" t="str">
            <v>2026-07</v>
          </cell>
        </row>
        <row r="3777">
          <cell r="G3777" t="str">
            <v>APG021</v>
          </cell>
          <cell r="O3777" t="str">
            <v>2026-06</v>
          </cell>
        </row>
        <row r="3778">
          <cell r="G3778" t="str">
            <v>APH498</v>
          </cell>
          <cell r="O3778" t="str">
            <v>2026-05</v>
          </cell>
        </row>
        <row r="3779">
          <cell r="G3779" t="str">
            <v>API186</v>
          </cell>
          <cell r="O3779" t="str">
            <v>2026-05</v>
          </cell>
        </row>
        <row r="3780">
          <cell r="G3780" t="str">
            <v>APJ137</v>
          </cell>
          <cell r="O3780" t="str">
            <v>2026-05</v>
          </cell>
        </row>
        <row r="3781">
          <cell r="G3781" t="str">
            <v>APN501</v>
          </cell>
          <cell r="O3781" t="str">
            <v>2025-11</v>
          </cell>
        </row>
        <row r="3782">
          <cell r="G3782" t="str">
            <v>ARK234</v>
          </cell>
          <cell r="O3782" t="str">
            <v>2026-03</v>
          </cell>
        </row>
        <row r="3783">
          <cell r="G3783" t="str">
            <v>ASL593</v>
          </cell>
          <cell r="O3783" t="str">
            <v>2025-12</v>
          </cell>
        </row>
        <row r="3784">
          <cell r="G3784" t="str">
            <v>ATI112</v>
          </cell>
          <cell r="O3784" t="str">
            <v>2025-12</v>
          </cell>
        </row>
        <row r="3785">
          <cell r="G3785" t="str">
            <v>ATU602</v>
          </cell>
          <cell r="O3785" t="str">
            <v>2026-02</v>
          </cell>
        </row>
        <row r="3786">
          <cell r="G3786" t="str">
            <v>AUE474</v>
          </cell>
          <cell r="O3786" t="str">
            <v>2025-12</v>
          </cell>
        </row>
        <row r="3787">
          <cell r="G3787" t="str">
            <v>AUJ004</v>
          </cell>
          <cell r="O3787" t="str">
            <v>2026-01</v>
          </cell>
        </row>
        <row r="3788">
          <cell r="G3788" t="str">
            <v>AUJ473</v>
          </cell>
          <cell r="O3788" t="str">
            <v>2026-02</v>
          </cell>
        </row>
        <row r="3789">
          <cell r="G3789" t="str">
            <v>AUO011</v>
          </cell>
          <cell r="O3789" t="str">
            <v>2026-02</v>
          </cell>
        </row>
        <row r="3790">
          <cell r="G3790" t="str">
            <v>AUQ844</v>
          </cell>
          <cell r="O3790" t="str">
            <v>2026-01</v>
          </cell>
        </row>
        <row r="3791">
          <cell r="G3791" t="str">
            <v>AUY361</v>
          </cell>
          <cell r="O3791" t="str">
            <v>2026-06</v>
          </cell>
        </row>
        <row r="3792">
          <cell r="G3792" t="str">
            <v>AVP298</v>
          </cell>
          <cell r="O3792" t="str">
            <v>2026-06</v>
          </cell>
        </row>
        <row r="3793">
          <cell r="G3793" t="str">
            <v>AWB116</v>
          </cell>
          <cell r="O3793" t="str">
            <v>2026-04</v>
          </cell>
        </row>
        <row r="3794">
          <cell r="G3794" t="str">
            <v>AWE309</v>
          </cell>
          <cell r="O3794" t="str">
            <v>2026-04</v>
          </cell>
        </row>
        <row r="3795">
          <cell r="G3795" t="str">
            <v>AWJ121</v>
          </cell>
          <cell r="O3795" t="str">
            <v>2026-05</v>
          </cell>
        </row>
        <row r="3796">
          <cell r="G3796" t="str">
            <v>AWU129</v>
          </cell>
          <cell r="O3796" t="str">
            <v>2026-05</v>
          </cell>
        </row>
        <row r="3797">
          <cell r="G3797" t="str">
            <v>AXX006</v>
          </cell>
          <cell r="O3797" t="str">
            <v>2026-08</v>
          </cell>
        </row>
        <row r="3798">
          <cell r="G3798" t="str">
            <v>AYG528</v>
          </cell>
          <cell r="O3798" t="str">
            <v>2026-08</v>
          </cell>
        </row>
        <row r="3799">
          <cell r="G3799" t="str">
            <v>B2Q883</v>
          </cell>
          <cell r="O3799" t="str">
            <v>2026-05</v>
          </cell>
        </row>
        <row r="3800">
          <cell r="G3800" t="str">
            <v>B2S067</v>
          </cell>
          <cell r="O3800" t="str">
            <v>2026-05</v>
          </cell>
        </row>
        <row r="3801">
          <cell r="G3801" t="str">
            <v>B2U123</v>
          </cell>
          <cell r="O3801" t="str">
            <v>2026-03</v>
          </cell>
        </row>
        <row r="3802">
          <cell r="G3802" t="str">
            <v>B2Z026</v>
          </cell>
          <cell r="O3802" t="str">
            <v>2026-02</v>
          </cell>
        </row>
        <row r="3803">
          <cell r="G3803" t="str">
            <v>B3U582</v>
          </cell>
          <cell r="O3803" t="str">
            <v>2026-01</v>
          </cell>
        </row>
        <row r="3804">
          <cell r="G3804" t="str">
            <v>B7Z150</v>
          </cell>
          <cell r="O3804" t="str">
            <v>2025-12</v>
          </cell>
        </row>
        <row r="3805">
          <cell r="G3805" t="str">
            <v>B8D737</v>
          </cell>
          <cell r="O3805" t="str">
            <v>2026-01</v>
          </cell>
        </row>
        <row r="3806">
          <cell r="G3806" t="str">
            <v>B9P169</v>
          </cell>
          <cell r="O3806" t="str">
            <v>2025-12</v>
          </cell>
        </row>
        <row r="3807">
          <cell r="G3807" t="str">
            <v>B9W570</v>
          </cell>
          <cell r="O3807" t="str">
            <v>2025-12</v>
          </cell>
        </row>
        <row r="3808">
          <cell r="G3808" t="str">
            <v>BAZ056</v>
          </cell>
          <cell r="O3808" t="str">
            <v>2026-03</v>
          </cell>
        </row>
        <row r="3809">
          <cell r="G3809" t="str">
            <v>BBI667</v>
          </cell>
          <cell r="O3809" t="str">
            <v>2026-03</v>
          </cell>
        </row>
        <row r="3810">
          <cell r="G3810" t="str">
            <v>BBK396</v>
          </cell>
          <cell r="O3810" t="str">
            <v>2026-06</v>
          </cell>
        </row>
        <row r="3811">
          <cell r="G3811" t="str">
            <v>BBO495</v>
          </cell>
          <cell r="O3811" t="str">
            <v>2026-03</v>
          </cell>
        </row>
        <row r="3812">
          <cell r="G3812" t="str">
            <v>BBV268</v>
          </cell>
          <cell r="O3812" t="str">
            <v>2026-06</v>
          </cell>
        </row>
        <row r="3813">
          <cell r="G3813" t="str">
            <v>BBY418</v>
          </cell>
          <cell r="O3813" t="str">
            <v>2026-08</v>
          </cell>
        </row>
        <row r="3814">
          <cell r="G3814" t="str">
            <v>BCC360</v>
          </cell>
          <cell r="O3814" t="str">
            <v>2026-07</v>
          </cell>
        </row>
        <row r="3815">
          <cell r="G3815" t="str">
            <v>BDF397</v>
          </cell>
          <cell r="O3815" t="str">
            <v>2026-06</v>
          </cell>
        </row>
        <row r="3816">
          <cell r="G3816" t="str">
            <v>BDG124</v>
          </cell>
          <cell r="O3816" t="str">
            <v>2026-06</v>
          </cell>
        </row>
        <row r="3817">
          <cell r="G3817" t="str">
            <v>BDW116</v>
          </cell>
          <cell r="O3817" t="str">
            <v>2026-08</v>
          </cell>
        </row>
        <row r="3818">
          <cell r="G3818" t="str">
            <v>BEB351</v>
          </cell>
          <cell r="O3818" t="str">
            <v>2026-01</v>
          </cell>
        </row>
        <row r="3819">
          <cell r="G3819" t="str">
            <v>BFV373</v>
          </cell>
          <cell r="O3819" t="str">
            <v>2026-04</v>
          </cell>
        </row>
        <row r="3820">
          <cell r="G3820" t="str">
            <v>BHB103</v>
          </cell>
          <cell r="O3820" t="str">
            <v>2025-12</v>
          </cell>
        </row>
        <row r="3821">
          <cell r="G3821" t="str">
            <v>BHD311</v>
          </cell>
          <cell r="O3821" t="str">
            <v>2026-04</v>
          </cell>
        </row>
        <row r="3822">
          <cell r="G3822" t="str">
            <v>BHJ019</v>
          </cell>
          <cell r="O3822" t="str">
            <v>2026-02</v>
          </cell>
        </row>
        <row r="3823">
          <cell r="G3823" t="str">
            <v>BHL627</v>
          </cell>
          <cell r="O3823" t="str">
            <v>2026-02</v>
          </cell>
        </row>
        <row r="3824">
          <cell r="G3824" t="str">
            <v>BHQ291</v>
          </cell>
          <cell r="O3824" t="str">
            <v>2026-07</v>
          </cell>
        </row>
        <row r="3825">
          <cell r="G3825" t="str">
            <v>BHU505</v>
          </cell>
          <cell r="O3825" t="str">
            <v>2026-02</v>
          </cell>
        </row>
        <row r="3826">
          <cell r="G3826" t="str">
            <v>BJI236</v>
          </cell>
          <cell r="O3826" t="str">
            <v>2026-06</v>
          </cell>
        </row>
        <row r="3827">
          <cell r="G3827" t="str">
            <v>BJL599</v>
          </cell>
          <cell r="O3827" t="str">
            <v>2025-12</v>
          </cell>
        </row>
        <row r="3828">
          <cell r="G3828" t="str">
            <v>BJO733</v>
          </cell>
          <cell r="O3828" t="str">
            <v>2025-12</v>
          </cell>
        </row>
        <row r="3829">
          <cell r="G3829" t="str">
            <v>BKA522</v>
          </cell>
          <cell r="O3829" t="str">
            <v>2026-06</v>
          </cell>
        </row>
        <row r="3830">
          <cell r="G3830" t="str">
            <v>BLA315</v>
          </cell>
          <cell r="O3830" t="str">
            <v>2026-07</v>
          </cell>
        </row>
        <row r="3831">
          <cell r="G3831" t="str">
            <v>BLD091</v>
          </cell>
          <cell r="O3831" t="str">
            <v>2026-07</v>
          </cell>
        </row>
        <row r="3832">
          <cell r="G3832" t="str">
            <v>BLG358</v>
          </cell>
          <cell r="O3832" t="str">
            <v>2026-08</v>
          </cell>
        </row>
        <row r="3833">
          <cell r="G3833" t="str">
            <v>BNR163</v>
          </cell>
          <cell r="O3833" t="str">
            <v>2026-02</v>
          </cell>
        </row>
        <row r="3834">
          <cell r="G3834" t="str">
            <v>BNU465</v>
          </cell>
          <cell r="O3834" t="str">
            <v>2026-01</v>
          </cell>
        </row>
        <row r="3835">
          <cell r="G3835" t="str">
            <v>BPC047</v>
          </cell>
          <cell r="O3835" t="str">
            <v>2026-02</v>
          </cell>
        </row>
        <row r="3836">
          <cell r="G3836" t="str">
            <v>BPG911</v>
          </cell>
          <cell r="O3836" t="str">
            <v>2026-04</v>
          </cell>
        </row>
        <row r="3837">
          <cell r="G3837" t="str">
            <v>BPM552</v>
          </cell>
          <cell r="O3837" t="str">
            <v>2026-08</v>
          </cell>
        </row>
        <row r="3838">
          <cell r="G3838" t="str">
            <v>BRE263</v>
          </cell>
          <cell r="O3838" t="str">
            <v>2026-08</v>
          </cell>
        </row>
        <row r="3839">
          <cell r="G3839" t="str">
            <v>BRG093</v>
          </cell>
          <cell r="O3839" t="str">
            <v>2026-08</v>
          </cell>
        </row>
        <row r="3840">
          <cell r="G3840" t="str">
            <v>BRW290</v>
          </cell>
          <cell r="O3840" t="str">
            <v>2026-03</v>
          </cell>
        </row>
        <row r="3841">
          <cell r="G3841" t="str">
            <v>BRX410</v>
          </cell>
          <cell r="O3841" t="str">
            <v>2026-03</v>
          </cell>
        </row>
        <row r="3842">
          <cell r="G3842" t="str">
            <v>BSS678</v>
          </cell>
          <cell r="O3842" t="str">
            <v>2025-12</v>
          </cell>
        </row>
        <row r="3843">
          <cell r="G3843" t="str">
            <v>BTT347</v>
          </cell>
          <cell r="O3843" t="str">
            <v>2026-02</v>
          </cell>
        </row>
        <row r="3844">
          <cell r="G3844" t="str">
            <v>BTZ314</v>
          </cell>
          <cell r="O3844" t="str">
            <v>2026-03</v>
          </cell>
        </row>
        <row r="3845">
          <cell r="G3845" t="str">
            <v>BUC501</v>
          </cell>
          <cell r="O3845" t="str">
            <v>2026-03</v>
          </cell>
        </row>
        <row r="3846">
          <cell r="G3846" t="str">
            <v>BUZ586</v>
          </cell>
          <cell r="O3846" t="str">
            <v>2026-05</v>
          </cell>
        </row>
        <row r="3847">
          <cell r="G3847" t="str">
            <v>BVI897</v>
          </cell>
          <cell r="O3847" t="str">
            <v>2026-07</v>
          </cell>
        </row>
        <row r="3848">
          <cell r="G3848" t="str">
            <v>BWS504</v>
          </cell>
          <cell r="O3848" t="str">
            <v>2026-02</v>
          </cell>
        </row>
        <row r="3849">
          <cell r="G3849" t="str">
            <v>BXS025</v>
          </cell>
          <cell r="O3849" t="str">
            <v>2025-12</v>
          </cell>
        </row>
        <row r="3850">
          <cell r="G3850" t="str">
            <v>BYB932</v>
          </cell>
          <cell r="O3850" t="str">
            <v>2026-01</v>
          </cell>
        </row>
        <row r="3851">
          <cell r="G3851" t="str">
            <v>C0Z521</v>
          </cell>
          <cell r="O3851" t="str">
            <v>2026-08</v>
          </cell>
        </row>
        <row r="3852">
          <cell r="G3852" t="str">
            <v>C1X251</v>
          </cell>
          <cell r="O3852" t="str">
            <v>2026-02</v>
          </cell>
        </row>
        <row r="3853">
          <cell r="G3853" t="str">
            <v>C3I089</v>
          </cell>
          <cell r="O3853" t="str">
            <v>2025-11</v>
          </cell>
        </row>
        <row r="3854">
          <cell r="G3854" t="str">
            <v>C3M304</v>
          </cell>
          <cell r="O3854" t="str">
            <v>2026-03</v>
          </cell>
        </row>
        <row r="3855">
          <cell r="G3855" t="str">
            <v>C4J103</v>
          </cell>
          <cell r="O3855" t="str">
            <v>2026-05</v>
          </cell>
        </row>
        <row r="3856">
          <cell r="G3856" t="str">
            <v>C4S036</v>
          </cell>
          <cell r="O3856" t="str">
            <v>2026-03</v>
          </cell>
        </row>
        <row r="3857">
          <cell r="G3857" t="str">
            <v>C8E172</v>
          </cell>
          <cell r="O3857" t="str">
            <v>2026-07</v>
          </cell>
        </row>
        <row r="3858">
          <cell r="G3858" t="str">
            <v>C9Z270</v>
          </cell>
          <cell r="O3858" t="str">
            <v>2025-09</v>
          </cell>
        </row>
        <row r="3859">
          <cell r="G3859" t="str">
            <v>CAR169</v>
          </cell>
          <cell r="O3859" t="str">
            <v>2026-08</v>
          </cell>
        </row>
        <row r="3860">
          <cell r="G3860" t="str">
            <v>CAT697</v>
          </cell>
          <cell r="O3860" t="str">
            <v>2026-08</v>
          </cell>
        </row>
        <row r="3861">
          <cell r="G3861" t="str">
            <v>CBY216</v>
          </cell>
          <cell r="O3861" t="str">
            <v>2026-04</v>
          </cell>
        </row>
        <row r="3862">
          <cell r="G3862" t="str">
            <v>CDC371</v>
          </cell>
          <cell r="O3862" t="str">
            <v>2026-01</v>
          </cell>
        </row>
        <row r="3863">
          <cell r="G3863" t="str">
            <v>CDC466</v>
          </cell>
          <cell r="O3863" t="str">
            <v>2026-02</v>
          </cell>
        </row>
        <row r="3864">
          <cell r="G3864" t="str">
            <v>CDD563</v>
          </cell>
          <cell r="O3864" t="str">
            <v>2026-01</v>
          </cell>
        </row>
        <row r="3865">
          <cell r="G3865" t="str">
            <v>CDF268</v>
          </cell>
          <cell r="O3865" t="str">
            <v>2026-01</v>
          </cell>
        </row>
        <row r="3866">
          <cell r="G3866" t="str">
            <v>CDI366</v>
          </cell>
          <cell r="O3866" t="str">
            <v>2026-03</v>
          </cell>
        </row>
        <row r="3867">
          <cell r="G3867" t="str">
            <v>CDO523</v>
          </cell>
          <cell r="O3867" t="str">
            <v>2026-02</v>
          </cell>
        </row>
        <row r="3868">
          <cell r="G3868" t="str">
            <v>CEB591</v>
          </cell>
          <cell r="O3868" t="str">
            <v>2026-03</v>
          </cell>
        </row>
        <row r="3869">
          <cell r="G3869" t="str">
            <v>CEQ392</v>
          </cell>
          <cell r="O3869" t="str">
            <v>2026-04</v>
          </cell>
        </row>
        <row r="3870">
          <cell r="G3870" t="str">
            <v>CJX379</v>
          </cell>
          <cell r="O3870" t="str">
            <v>2025-12</v>
          </cell>
        </row>
        <row r="3871">
          <cell r="G3871" t="str">
            <v>CKJ552</v>
          </cell>
          <cell r="O3871" t="str">
            <v>2026-02</v>
          </cell>
        </row>
        <row r="3872">
          <cell r="G3872" t="str">
            <v>CKT580</v>
          </cell>
          <cell r="O3872" t="str">
            <v>2026-03</v>
          </cell>
        </row>
        <row r="3873">
          <cell r="G3873" t="str">
            <v>CKV243</v>
          </cell>
          <cell r="O3873" t="str">
            <v>2026-02</v>
          </cell>
        </row>
        <row r="3874">
          <cell r="G3874" t="str">
            <v>CKV457</v>
          </cell>
          <cell r="O3874" t="str">
            <v>2026-02</v>
          </cell>
        </row>
        <row r="3875">
          <cell r="G3875" t="str">
            <v>CLB218</v>
          </cell>
          <cell r="O3875" t="str">
            <v>2026-03</v>
          </cell>
        </row>
        <row r="3876">
          <cell r="G3876" t="str">
            <v>CLK102</v>
          </cell>
          <cell r="O3876" t="str">
            <v>2026-04</v>
          </cell>
        </row>
        <row r="3877">
          <cell r="G3877" t="str">
            <v>CQO171</v>
          </cell>
          <cell r="O3877" t="str">
            <v>2026-08</v>
          </cell>
        </row>
        <row r="3878">
          <cell r="G3878" t="str">
            <v>CQZ699</v>
          </cell>
          <cell r="O3878" t="str">
            <v>2026-07</v>
          </cell>
        </row>
        <row r="3879">
          <cell r="G3879" t="str">
            <v>D1L476</v>
          </cell>
          <cell r="O3879" t="str">
            <v>2026-01</v>
          </cell>
        </row>
        <row r="3880">
          <cell r="G3880" t="str">
            <v>D3B594</v>
          </cell>
          <cell r="O3880" t="str">
            <v>2026-01</v>
          </cell>
        </row>
        <row r="3881">
          <cell r="G3881" t="str">
            <v>D3L270</v>
          </cell>
          <cell r="O3881" t="str">
            <v>2026-07</v>
          </cell>
        </row>
        <row r="3882">
          <cell r="G3882" t="str">
            <v>D4N537</v>
          </cell>
          <cell r="O3882" t="str">
            <v>2026-07</v>
          </cell>
        </row>
        <row r="3883">
          <cell r="G3883" t="str">
            <v>D6X012</v>
          </cell>
          <cell r="O3883" t="str">
            <v>2026-08</v>
          </cell>
        </row>
        <row r="3884">
          <cell r="G3884" t="str">
            <v>D7Y568</v>
          </cell>
          <cell r="O3884" t="str">
            <v>2026-01</v>
          </cell>
        </row>
        <row r="3885">
          <cell r="G3885" t="str">
            <v>D7Z597</v>
          </cell>
          <cell r="O3885" t="str">
            <v>2026-06</v>
          </cell>
        </row>
        <row r="3886">
          <cell r="G3886" t="str">
            <v>D8A030</v>
          </cell>
          <cell r="O3886" t="str">
            <v>2026-01</v>
          </cell>
        </row>
        <row r="3887">
          <cell r="G3887" t="str">
            <v>D8Z401</v>
          </cell>
          <cell r="O3887" t="str">
            <v>2026-01</v>
          </cell>
        </row>
        <row r="3888">
          <cell r="G3888" t="str">
            <v>D9O438</v>
          </cell>
          <cell r="O3888" t="str">
            <v>2026-07</v>
          </cell>
        </row>
        <row r="3889">
          <cell r="G3889" t="str">
            <v>F1H605</v>
          </cell>
          <cell r="O3889" t="str">
            <v>2025-12</v>
          </cell>
        </row>
        <row r="3890">
          <cell r="G3890" t="str">
            <v>F1U100</v>
          </cell>
          <cell r="O3890" t="str">
            <v>2026-04</v>
          </cell>
        </row>
        <row r="3891">
          <cell r="G3891" t="str">
            <v>F2M566</v>
          </cell>
          <cell r="O3891" t="str">
            <v>2026-01</v>
          </cell>
        </row>
        <row r="3892">
          <cell r="G3892" t="str">
            <v>F3O031</v>
          </cell>
          <cell r="O3892" t="str">
            <v>2026-05</v>
          </cell>
        </row>
        <row r="3893">
          <cell r="G3893" t="str">
            <v>F4G399</v>
          </cell>
          <cell r="O3893" t="str">
            <v>2026-07</v>
          </cell>
        </row>
        <row r="3894">
          <cell r="G3894" t="str">
            <v>F4U253</v>
          </cell>
          <cell r="O3894" t="str">
            <v>2026-07</v>
          </cell>
        </row>
        <row r="3895">
          <cell r="G3895" t="str">
            <v>F5Q113</v>
          </cell>
          <cell r="O3895" t="str">
            <v>2026-06</v>
          </cell>
        </row>
        <row r="3896">
          <cell r="G3896" t="str">
            <v>F5S104</v>
          </cell>
          <cell r="O3896" t="str">
            <v>2026-07</v>
          </cell>
        </row>
        <row r="3897">
          <cell r="G3897" t="str">
            <v>F5U510</v>
          </cell>
          <cell r="O3897" t="str">
            <v>2026-03</v>
          </cell>
        </row>
        <row r="3898">
          <cell r="G3898" t="str">
            <v>F6A236</v>
          </cell>
          <cell r="O3898" t="str">
            <v>2026-04</v>
          </cell>
        </row>
        <row r="3899">
          <cell r="G3899" t="str">
            <v>F6F443</v>
          </cell>
          <cell r="O3899" t="str">
            <v>2026-04</v>
          </cell>
        </row>
        <row r="3900">
          <cell r="G3900" t="str">
            <v>F7T101</v>
          </cell>
          <cell r="O3900" t="str">
            <v>2026-03</v>
          </cell>
        </row>
        <row r="3901">
          <cell r="G3901" t="str">
            <v>F8C428</v>
          </cell>
          <cell r="O3901" t="str">
            <v>2026-05</v>
          </cell>
        </row>
        <row r="3902">
          <cell r="G3902" t="str">
            <v>LIJ060</v>
          </cell>
          <cell r="O3902" t="str">
            <v>2025-12</v>
          </cell>
        </row>
        <row r="3903">
          <cell r="G3903" t="str">
            <v>RIZ205</v>
          </cell>
          <cell r="O3903" t="str">
            <v>2026-07</v>
          </cell>
        </row>
        <row r="3904">
          <cell r="G3904" t="str">
            <v>ABI622</v>
          </cell>
          <cell r="O3904" t="str">
            <v>2025-12</v>
          </cell>
        </row>
        <row r="3905">
          <cell r="G3905" t="str">
            <v>AEH643</v>
          </cell>
          <cell r="O3905" t="str">
            <v>2026-04</v>
          </cell>
        </row>
        <row r="3906">
          <cell r="G3906" t="str">
            <v>AKQ105</v>
          </cell>
          <cell r="O3906" t="str">
            <v>2025-12</v>
          </cell>
        </row>
        <row r="3907">
          <cell r="G3907" t="str">
            <v>BBO638</v>
          </cell>
          <cell r="O3907" t="str">
            <v>2026-06</v>
          </cell>
        </row>
        <row r="3908">
          <cell r="G3908" t="str">
            <v>BHQ291</v>
          </cell>
          <cell r="O3908" t="str">
            <v>2026-02</v>
          </cell>
        </row>
        <row r="3909">
          <cell r="G3909" t="str">
            <v>BPM552</v>
          </cell>
          <cell r="O3909" t="str">
            <v>2026-01</v>
          </cell>
        </row>
        <row r="3910">
          <cell r="G3910" t="str">
            <v>C3M304</v>
          </cell>
          <cell r="O3910" t="str">
            <v>2026-04</v>
          </cell>
        </row>
        <row r="3911">
          <cell r="G3911" t="str">
            <v>D1L476</v>
          </cell>
          <cell r="O3911" t="str">
            <v>2026-02</v>
          </cell>
        </row>
        <row r="3912">
          <cell r="G3912" t="str">
            <v>D3D571</v>
          </cell>
          <cell r="O3912" t="str">
            <v>2026-02</v>
          </cell>
        </row>
        <row r="3913">
          <cell r="G3913" t="str">
            <v>D8A030</v>
          </cell>
          <cell r="O3913" t="str">
            <v>2026-02</v>
          </cell>
        </row>
        <row r="3914">
          <cell r="G3914" t="str">
            <v>F5S104</v>
          </cell>
          <cell r="O3914" t="str">
            <v>2026-01</v>
          </cell>
        </row>
        <row r="3915">
          <cell r="G3915" t="str">
            <v>RTA1I031</v>
          </cell>
          <cell r="O3915" t="str">
            <v>2026-07</v>
          </cell>
        </row>
        <row r="3916">
          <cell r="G3916" t="str">
            <v>RTACK530</v>
          </cell>
          <cell r="O3916" t="str">
            <v>2026-01</v>
          </cell>
        </row>
        <row r="3917">
          <cell r="G3917" t="str">
            <v>RTAHK248</v>
          </cell>
          <cell r="O3917" t="str">
            <v>2026-07</v>
          </cell>
        </row>
        <row r="3918">
          <cell r="G3918" t="str">
            <v>RTAJW816</v>
          </cell>
          <cell r="O3918" t="str">
            <v>2026-03</v>
          </cell>
        </row>
        <row r="3919">
          <cell r="G3919" t="str">
            <v>RTAMB237</v>
          </cell>
          <cell r="O3919" t="str">
            <v>2026-03</v>
          </cell>
        </row>
        <row r="3920">
          <cell r="G3920" t="str">
            <v>RTAMP419</v>
          </cell>
          <cell r="O3920" t="str">
            <v>2025-12</v>
          </cell>
        </row>
        <row r="3921">
          <cell r="G3921" t="str">
            <v>RTAMU692</v>
          </cell>
          <cell r="O3921" t="str">
            <v>2026-02</v>
          </cell>
        </row>
        <row r="3922">
          <cell r="G3922" t="str">
            <v>RTANC513</v>
          </cell>
          <cell r="O3922" t="str">
            <v>2026-05</v>
          </cell>
        </row>
        <row r="3923">
          <cell r="G3923" t="str">
            <v>RTATC433</v>
          </cell>
          <cell r="O3923" t="str">
            <v>2026-07</v>
          </cell>
        </row>
        <row r="3924">
          <cell r="G3924" t="str">
            <v>RTAUE474</v>
          </cell>
          <cell r="O3924" t="str">
            <v>2026-06</v>
          </cell>
        </row>
        <row r="3925">
          <cell r="G3925" t="str">
            <v>RTAUY361</v>
          </cell>
          <cell r="O3925" t="str">
            <v>2026-07</v>
          </cell>
        </row>
        <row r="3926">
          <cell r="G3926" t="str">
            <v>RTAYA100</v>
          </cell>
          <cell r="O3926" t="str">
            <v>2026-07</v>
          </cell>
        </row>
        <row r="3927">
          <cell r="G3927" t="str">
            <v>RTB2U123</v>
          </cell>
          <cell r="O3927" t="str">
            <v>2026-02</v>
          </cell>
        </row>
        <row r="3928">
          <cell r="G3928" t="str">
            <v>RTB8D737</v>
          </cell>
          <cell r="O3928" t="str">
            <v>2026-01</v>
          </cell>
        </row>
        <row r="3929">
          <cell r="G3929" t="str">
            <v>RTBAT082</v>
          </cell>
          <cell r="O3929" t="str">
            <v>2026-05</v>
          </cell>
        </row>
        <row r="3930">
          <cell r="G3930" t="str">
            <v>RTBBQ362</v>
          </cell>
          <cell r="O3930" t="str">
            <v>2025-08</v>
          </cell>
        </row>
        <row r="3931">
          <cell r="G3931" t="str">
            <v>RTBDG124</v>
          </cell>
          <cell r="O3931" t="str">
            <v>2026-07</v>
          </cell>
        </row>
        <row r="3932">
          <cell r="G3932" t="str">
            <v>RTBDJ519</v>
          </cell>
          <cell r="O3932" t="str">
            <v>2025-11</v>
          </cell>
        </row>
        <row r="3933">
          <cell r="G3933" t="str">
            <v>RTBFW520</v>
          </cell>
          <cell r="O3933" t="str">
            <v>2026-02</v>
          </cell>
        </row>
        <row r="3934">
          <cell r="G3934" t="str">
            <v>RTBHU505</v>
          </cell>
          <cell r="O3934" t="str">
            <v>2025-11</v>
          </cell>
        </row>
        <row r="3935">
          <cell r="G3935" t="str">
            <v>RTBJA473</v>
          </cell>
          <cell r="O3935" t="str">
            <v>2026-02</v>
          </cell>
        </row>
        <row r="3936">
          <cell r="G3936" t="str">
            <v>RTBLC014</v>
          </cell>
          <cell r="O3936" t="str">
            <v>2026-06</v>
          </cell>
        </row>
        <row r="3937">
          <cell r="G3937" t="str">
            <v>RTBNH073</v>
          </cell>
          <cell r="O3937" t="str">
            <v>2026-02</v>
          </cell>
        </row>
        <row r="3938">
          <cell r="G3938" t="str">
            <v>RTBNQ572</v>
          </cell>
          <cell r="O3938" t="str">
            <v>2026-02</v>
          </cell>
        </row>
        <row r="3939">
          <cell r="G3939" t="str">
            <v>RTBRO333</v>
          </cell>
          <cell r="O3939" t="str">
            <v>2026-06</v>
          </cell>
        </row>
        <row r="3940">
          <cell r="G3940" t="str">
            <v>RTBRP084</v>
          </cell>
          <cell r="O3940" t="str">
            <v>2026-08</v>
          </cell>
        </row>
        <row r="3941">
          <cell r="G3941" t="str">
            <v>RTBRW290</v>
          </cell>
          <cell r="O3941" t="str">
            <v>2026-07</v>
          </cell>
        </row>
        <row r="3942">
          <cell r="G3942" t="str">
            <v>RTBRX410</v>
          </cell>
          <cell r="O3942" t="str">
            <v>2025-12</v>
          </cell>
        </row>
        <row r="3943">
          <cell r="G3943" t="str">
            <v>RTBSG484</v>
          </cell>
          <cell r="O3943" t="str">
            <v>2026-06</v>
          </cell>
        </row>
        <row r="3944">
          <cell r="G3944" t="str">
            <v>RTBTK140</v>
          </cell>
          <cell r="O3944" t="str">
            <v>2026-03</v>
          </cell>
        </row>
        <row r="3945">
          <cell r="G3945" t="str">
            <v>RTBTP461</v>
          </cell>
          <cell r="O3945" t="str">
            <v>2026-07</v>
          </cell>
        </row>
        <row r="3946">
          <cell r="G3946" t="str">
            <v>RTBUN288</v>
          </cell>
          <cell r="O3946" t="str">
            <v>2026-03</v>
          </cell>
        </row>
        <row r="3947">
          <cell r="G3947" t="str">
            <v>RTC5M488</v>
          </cell>
          <cell r="O3947" t="str">
            <v>2026-07</v>
          </cell>
        </row>
        <row r="3948">
          <cell r="G3948" t="str">
            <v>RTC8S432</v>
          </cell>
          <cell r="O3948" t="str">
            <v>2026-01</v>
          </cell>
        </row>
        <row r="3949">
          <cell r="G3949" t="str">
            <v>RTCEU010</v>
          </cell>
          <cell r="O3949" t="str">
            <v>2025-09</v>
          </cell>
        </row>
        <row r="3950">
          <cell r="G3950" t="str">
            <v>RTCGD285</v>
          </cell>
          <cell r="O3950" t="str">
            <v>2026-02</v>
          </cell>
        </row>
        <row r="3951">
          <cell r="G3951" t="str">
            <v>RTF6F443</v>
          </cell>
          <cell r="O3951" t="str">
            <v>2026-08</v>
          </cell>
        </row>
        <row r="3952">
          <cell r="G3952" t="str">
            <v>RTLIJ060</v>
          </cell>
          <cell r="O3952" t="str">
            <v>2025-12</v>
          </cell>
        </row>
        <row r="3953">
          <cell r="G3953" t="str">
            <v>AFH348</v>
          </cell>
          <cell r="O3953" t="str">
            <v>2026-07</v>
          </cell>
        </row>
        <row r="3954">
          <cell r="G3954" t="str">
            <v>D2M481</v>
          </cell>
          <cell r="O3954" t="str">
            <v>2025-12</v>
          </cell>
        </row>
        <row r="3955">
          <cell r="G3955" t="str">
            <v>D7Q282</v>
          </cell>
          <cell r="O3955" t="str">
            <v>2026-06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S"/>
      <sheetName val="Tablero"/>
      <sheetName val="Hoja1"/>
    </sheetNames>
    <sheetDataSet>
      <sheetData sheetId="0"/>
      <sheetData sheetId="1">
        <row r="1">
          <cell r="AE1" t="str">
            <v>STATUS RENOVACION</v>
          </cell>
          <cell r="AP1" t="str">
            <v>Rimac</v>
          </cell>
        </row>
        <row r="2">
          <cell r="AE2" t="str">
            <v>04 - NO RENOVADA</v>
          </cell>
          <cell r="AP2">
            <v>75163</v>
          </cell>
        </row>
        <row r="3">
          <cell r="AE3" t="str">
            <v>03 - PENDIENTE</v>
          </cell>
          <cell r="AP3">
            <v>2009000261</v>
          </cell>
        </row>
        <row r="4">
          <cell r="AE4" t="str">
            <v>05 - ANULADA EN VIGENCIA</v>
          </cell>
          <cell r="AP4">
            <v>71914</v>
          </cell>
        </row>
        <row r="5">
          <cell r="AE5" t="str">
            <v>05 - ANULADA EN VIGENCIA</v>
          </cell>
          <cell r="AP5">
            <v>83439</v>
          </cell>
        </row>
        <row r="6">
          <cell r="AE6" t="str">
            <v>05 - ANULADA EN VIGENCIA</v>
          </cell>
          <cell r="AP6">
            <v>75196</v>
          </cell>
        </row>
        <row r="7">
          <cell r="AE7" t="str">
            <v>01 - RENOVADA</v>
          </cell>
          <cell r="AP7">
            <v>230246228</v>
          </cell>
        </row>
        <row r="8">
          <cell r="AE8" t="str">
            <v>08 - VIGENCIA ANTERIOR</v>
          </cell>
          <cell r="AP8">
            <v>2007596955</v>
          </cell>
        </row>
        <row r="9">
          <cell r="AE9" t="str">
            <v>01 - RENOVADA</v>
          </cell>
          <cell r="AP9">
            <v>2009017386</v>
          </cell>
        </row>
        <row r="10">
          <cell r="AE10" t="str">
            <v>05 - ANULADA EN VIGENCIA</v>
          </cell>
          <cell r="AP10">
            <v>95069</v>
          </cell>
        </row>
        <row r="11">
          <cell r="AE11" t="str">
            <v>04 - NO RENOVADA</v>
          </cell>
          <cell r="AP11">
            <v>2537</v>
          </cell>
        </row>
        <row r="12">
          <cell r="AE12" t="str">
            <v>04 - NO RENOVADA</v>
          </cell>
          <cell r="AP12">
            <v>1019822</v>
          </cell>
        </row>
        <row r="13">
          <cell r="AE13" t="str">
            <v>01 - RENOVADA</v>
          </cell>
          <cell r="AP13">
            <v>2007114992</v>
          </cell>
        </row>
        <row r="14">
          <cell r="AE14" t="str">
            <v>04 - NO RENOVADA</v>
          </cell>
          <cell r="AP14" t="str">
            <v>VARIOS</v>
          </cell>
        </row>
        <row r="15">
          <cell r="AE15" t="str">
            <v>01 - RENOVADA</v>
          </cell>
          <cell r="AP15">
            <v>70240448</v>
          </cell>
        </row>
        <row r="16">
          <cell r="AE16" t="str">
            <v>01 - RENOVADA</v>
          </cell>
          <cell r="AP16">
            <v>70241005</v>
          </cell>
        </row>
        <row r="17">
          <cell r="AE17" t="str">
            <v>01 - RENOVADA</v>
          </cell>
          <cell r="AP17">
            <v>70238564</v>
          </cell>
        </row>
        <row r="18">
          <cell r="AE18" t="str">
            <v>04 - NO RENOVADA</v>
          </cell>
          <cell r="AP18">
            <v>70188761</v>
          </cell>
        </row>
        <row r="19">
          <cell r="AE19" t="str">
            <v>01 - RENOVADA</v>
          </cell>
          <cell r="AP19">
            <v>2011439997</v>
          </cell>
        </row>
        <row r="20">
          <cell r="AE20" t="str">
            <v>01 - RENOVADA</v>
          </cell>
          <cell r="AP20">
            <v>220010655</v>
          </cell>
        </row>
        <row r="21">
          <cell r="AE21" t="str">
            <v>04 - NO RENOVADA</v>
          </cell>
          <cell r="AP21">
            <v>2005892515</v>
          </cell>
        </row>
        <row r="22">
          <cell r="AE22" t="str">
            <v>04 - NO RENOVADA</v>
          </cell>
          <cell r="AP22">
            <v>525841</v>
          </cell>
        </row>
        <row r="23">
          <cell r="AE23" t="str">
            <v>01 - RENOVADA</v>
          </cell>
          <cell r="AP23">
            <v>877147</v>
          </cell>
        </row>
        <row r="24">
          <cell r="AE24" t="str">
            <v>01 - RENOVADA</v>
          </cell>
          <cell r="AP24">
            <v>2011614455</v>
          </cell>
        </row>
        <row r="25">
          <cell r="AE25" t="str">
            <v>05 - ANULADA EN VIGENCIA</v>
          </cell>
          <cell r="AP25">
            <v>15418747</v>
          </cell>
        </row>
        <row r="26">
          <cell r="AE26" t="str">
            <v>04 - NO RENOVADA</v>
          </cell>
          <cell r="AP26">
            <v>897452</v>
          </cell>
        </row>
        <row r="27">
          <cell r="AE27" t="str">
            <v>05 - ANULADA EN VIGENCIA</v>
          </cell>
          <cell r="AP27">
            <v>5756033</v>
          </cell>
        </row>
        <row r="28">
          <cell r="AE28" t="str">
            <v>05 - ANULADA EN VIGENCIA</v>
          </cell>
          <cell r="AP28">
            <v>2008682117</v>
          </cell>
        </row>
        <row r="29">
          <cell r="AE29" t="str">
            <v>03 - PENDIENTE</v>
          </cell>
          <cell r="AP29">
            <v>15316911</v>
          </cell>
        </row>
        <row r="30">
          <cell r="AE30" t="str">
            <v>03 - PENDIENTE</v>
          </cell>
          <cell r="AP30">
            <v>15317285</v>
          </cell>
        </row>
        <row r="31">
          <cell r="AE31" t="str">
            <v>03 - PENDIENTE</v>
          </cell>
          <cell r="AP31">
            <v>15317752</v>
          </cell>
        </row>
        <row r="32">
          <cell r="AE32" t="str">
            <v>05 - ANULADA EN VIGENCIA</v>
          </cell>
          <cell r="AP32">
            <v>1019187</v>
          </cell>
        </row>
        <row r="33">
          <cell r="AE33" t="str">
            <v>05 - ANULADA EN VIGENCIA</v>
          </cell>
          <cell r="AP33">
            <v>1232213</v>
          </cell>
        </row>
        <row r="34">
          <cell r="AE34" t="str">
            <v>05 - ANULADA EN VIGENCIA</v>
          </cell>
          <cell r="AP34">
            <v>2009680548</v>
          </cell>
        </row>
        <row r="35">
          <cell r="AE35" t="str">
            <v>01 - RENOVADA</v>
          </cell>
          <cell r="AP35">
            <v>2011475018</v>
          </cell>
        </row>
        <row r="36">
          <cell r="AE36" t="str">
            <v>05 - ANULADA EN VIGENCIA</v>
          </cell>
          <cell r="AP36">
            <v>2010002125</v>
          </cell>
        </row>
        <row r="37">
          <cell r="AE37" t="str">
            <v>05 - ANULADA EN VIGENCIA</v>
          </cell>
          <cell r="AP37">
            <v>70183784</v>
          </cell>
        </row>
        <row r="38">
          <cell r="AE38" t="str">
            <v>05 - ANULADA EN VIGENCIA</v>
          </cell>
          <cell r="AP38">
            <v>77449</v>
          </cell>
        </row>
        <row r="39">
          <cell r="AE39" t="str">
            <v>05 - ANULADA EN VIGENCIA</v>
          </cell>
          <cell r="AP39">
            <v>1401215</v>
          </cell>
        </row>
        <row r="40">
          <cell r="AE40" t="str">
            <v>01 - RENOVADA</v>
          </cell>
          <cell r="AP40">
            <v>1496943</v>
          </cell>
        </row>
        <row r="41">
          <cell r="AE41" t="str">
            <v>04 - NO RENOVADA</v>
          </cell>
          <cell r="AP41">
            <v>2003572189</v>
          </cell>
        </row>
        <row r="42">
          <cell r="AE42" t="str">
            <v>03 - PENDIENTE</v>
          </cell>
          <cell r="AP42">
            <v>17117897</v>
          </cell>
        </row>
        <row r="43">
          <cell r="AE43" t="str">
            <v>05 - ANULADA EN VIGENCIA</v>
          </cell>
          <cell r="AP43">
            <v>1270999</v>
          </cell>
        </row>
        <row r="44">
          <cell r="AE44" t="str">
            <v>08 - VIGENCIA ANTERIOR</v>
          </cell>
          <cell r="AP44">
            <v>2007597911</v>
          </cell>
        </row>
        <row r="45">
          <cell r="AE45" t="str">
            <v>01 - RENOVADA</v>
          </cell>
          <cell r="AP45">
            <v>2008798263</v>
          </cell>
        </row>
        <row r="46">
          <cell r="AE46" t="str">
            <v>04 - NO RENOVADA</v>
          </cell>
          <cell r="AP46">
            <v>2007748972</v>
          </cell>
        </row>
        <row r="47">
          <cell r="AE47" t="str">
            <v>05 - ANULADA EN VIGENCIA</v>
          </cell>
          <cell r="AP47">
            <v>1246193</v>
          </cell>
        </row>
        <row r="48">
          <cell r="AE48" t="str">
            <v>05 - ANULADA EN VIGENCIA</v>
          </cell>
          <cell r="AP48">
            <v>985886</v>
          </cell>
        </row>
        <row r="49">
          <cell r="AE49" t="str">
            <v>01 - RENOVADA</v>
          </cell>
          <cell r="AP49">
            <v>2006970993</v>
          </cell>
        </row>
        <row r="50">
          <cell r="AE50" t="str">
            <v>03 - PENDIENTE</v>
          </cell>
          <cell r="AP50">
            <v>2001135239</v>
          </cell>
        </row>
        <row r="51">
          <cell r="AE51" t="str">
            <v>04 - NO RENOVADA</v>
          </cell>
          <cell r="AP51">
            <v>2005077956</v>
          </cell>
        </row>
        <row r="52">
          <cell r="AE52" t="str">
            <v>08 - VIGENCIA ANTERIOR</v>
          </cell>
          <cell r="AP52">
            <v>1053277</v>
          </cell>
        </row>
        <row r="53">
          <cell r="AE53" t="str">
            <v>08 - VIGENCIA ANTERIOR</v>
          </cell>
          <cell r="AP53">
            <v>1260297</v>
          </cell>
        </row>
        <row r="54">
          <cell r="AE54" t="str">
            <v>01 - RENOVADA</v>
          </cell>
          <cell r="AP54">
            <v>1537757</v>
          </cell>
        </row>
        <row r="55">
          <cell r="AE55" t="str">
            <v>04 - NO RENOVADA</v>
          </cell>
          <cell r="AP55">
            <v>7673253</v>
          </cell>
        </row>
        <row r="56">
          <cell r="AE56" t="str">
            <v>01 - RENOVADA</v>
          </cell>
          <cell r="AP56">
            <v>53567</v>
          </cell>
        </row>
        <row r="57">
          <cell r="AE57" t="str">
            <v>05 - ANULADA EN VIGENCIA</v>
          </cell>
          <cell r="AP57">
            <v>9206026</v>
          </cell>
        </row>
        <row r="58">
          <cell r="AE58" t="str">
            <v>04 - NO RENOVADA</v>
          </cell>
          <cell r="AP58">
            <v>17249843</v>
          </cell>
        </row>
        <row r="59">
          <cell r="AE59" t="str">
            <v>05 - ANULADA EN VIGENCIA</v>
          </cell>
          <cell r="AP59">
            <v>48736</v>
          </cell>
        </row>
        <row r="60">
          <cell r="AE60" t="str">
            <v>01 - RENOVADA</v>
          </cell>
          <cell r="AP60">
            <v>2010034628</v>
          </cell>
        </row>
        <row r="61">
          <cell r="AE61" t="str">
            <v>01 - RENOVADA</v>
          </cell>
          <cell r="AP61">
            <v>9569497</v>
          </cell>
        </row>
        <row r="62">
          <cell r="AE62" t="str">
            <v>01 - RENOVADA</v>
          </cell>
          <cell r="AP62">
            <v>1514978</v>
          </cell>
        </row>
        <row r="63">
          <cell r="AE63" t="str">
            <v>05 - ANULADA EN VIGENCIA</v>
          </cell>
          <cell r="AP63">
            <v>3012300055212</v>
          </cell>
        </row>
        <row r="64">
          <cell r="AE64" t="str">
            <v>04 - NO RENOVADA</v>
          </cell>
          <cell r="AP64">
            <v>2004612035</v>
          </cell>
        </row>
        <row r="65">
          <cell r="AE65" t="str">
            <v>05 - ANULADA EN VIGENCIA</v>
          </cell>
          <cell r="AP65">
            <v>2009010181</v>
          </cell>
        </row>
        <row r="66">
          <cell r="AE66" t="str">
            <v>05 - ANULADA EN VIGENCIA</v>
          </cell>
          <cell r="AP66">
            <v>16496703</v>
          </cell>
        </row>
        <row r="67">
          <cell r="AE67" t="str">
            <v>01 - RENOVADA</v>
          </cell>
          <cell r="AP67">
            <v>16717014</v>
          </cell>
        </row>
        <row r="68">
          <cell r="AE68" t="str">
            <v>01 - RENOVADA</v>
          </cell>
          <cell r="AP68">
            <v>70238565</v>
          </cell>
        </row>
        <row r="69">
          <cell r="AE69" t="str">
            <v>05 - ANULADA EN VIGENCIA</v>
          </cell>
          <cell r="AP69">
            <v>100548</v>
          </cell>
        </row>
        <row r="70">
          <cell r="AE70" t="str">
            <v>05 - ANULADA EN VIGENCIA</v>
          </cell>
          <cell r="AP70">
            <v>2003901597</v>
          </cell>
        </row>
        <row r="71">
          <cell r="AE71" t="str">
            <v>05 - ANULADA EN VIGENCIA</v>
          </cell>
          <cell r="AP71">
            <v>2005945256</v>
          </cell>
        </row>
        <row r="72">
          <cell r="AE72" t="str">
            <v>08 - VIGENCIA ANTERIOR</v>
          </cell>
          <cell r="AP72">
            <v>1012283</v>
          </cell>
        </row>
        <row r="73">
          <cell r="AE73" t="str">
            <v>05 - ANULADA EN VIGENCIA</v>
          </cell>
          <cell r="AP73">
            <v>1483685</v>
          </cell>
        </row>
        <row r="74">
          <cell r="AE74" t="str">
            <v>05 - ANULADA EN VIGENCIA</v>
          </cell>
          <cell r="AP74">
            <v>70167247</v>
          </cell>
        </row>
        <row r="75">
          <cell r="AE75" t="str">
            <v>05 - ANULADA EN VIGENCIA</v>
          </cell>
          <cell r="AP75">
            <v>2011700786</v>
          </cell>
        </row>
        <row r="76">
          <cell r="AE76" t="str">
            <v>01 - RENOVADA</v>
          </cell>
          <cell r="AP76">
            <v>70243235</v>
          </cell>
        </row>
        <row r="77">
          <cell r="AE77" t="str">
            <v>05 - ANULADA EN VIGENCIA</v>
          </cell>
          <cell r="AP77">
            <v>3012200059408</v>
          </cell>
        </row>
        <row r="78">
          <cell r="AE78" t="str">
            <v>05 - ANULADA EN VIGENCIA</v>
          </cell>
          <cell r="AP78">
            <v>2001493664</v>
          </cell>
        </row>
        <row r="79">
          <cell r="AE79" t="str">
            <v>01 - RENOVADA</v>
          </cell>
          <cell r="AP79">
            <v>70215090</v>
          </cell>
        </row>
        <row r="80">
          <cell r="AE80" t="str">
            <v>01 - RENOVADA</v>
          </cell>
          <cell r="AP80">
            <v>20598255</v>
          </cell>
        </row>
        <row r="81">
          <cell r="AE81" t="str">
            <v>05 - ANULADA EN VIGENCIA</v>
          </cell>
          <cell r="AP81">
            <v>14995436</v>
          </cell>
        </row>
        <row r="82">
          <cell r="AE82" t="str">
            <v>01 - RENOVADA</v>
          </cell>
          <cell r="AP82">
            <v>14596127</v>
          </cell>
        </row>
        <row r="83">
          <cell r="AE83" t="str">
            <v>05 - ANULADA EN VIGENCIA</v>
          </cell>
          <cell r="AP83">
            <v>70216050</v>
          </cell>
        </row>
        <row r="84">
          <cell r="AE84" t="str">
            <v>01 - RENOVADA</v>
          </cell>
          <cell r="AP84">
            <v>70213198</v>
          </cell>
        </row>
        <row r="85">
          <cell r="AE85" t="str">
            <v>05 - ANULADA EN VIGENCIA</v>
          </cell>
          <cell r="AP85">
            <v>70189951</v>
          </cell>
        </row>
        <row r="86">
          <cell r="AE86" t="str">
            <v>03 - PENDIENTE</v>
          </cell>
          <cell r="AP86">
            <v>70203836</v>
          </cell>
        </row>
        <row r="87">
          <cell r="AE87" t="str">
            <v>05 - ANULADA EN VIGENCIA</v>
          </cell>
          <cell r="AP87">
            <v>671996</v>
          </cell>
        </row>
        <row r="88">
          <cell r="AE88" t="str">
            <v>01 - RENOVADA</v>
          </cell>
          <cell r="AP88">
            <v>1408028</v>
          </cell>
        </row>
        <row r="89">
          <cell r="AE89" t="str">
            <v>01 - RENOVADA</v>
          </cell>
          <cell r="AP89">
            <v>1279368</v>
          </cell>
        </row>
        <row r="90">
          <cell r="AE90" t="str">
            <v>05 - ANULADA EN VIGENCIA</v>
          </cell>
          <cell r="AP90">
            <v>33813</v>
          </cell>
        </row>
        <row r="91">
          <cell r="AE91" t="str">
            <v>01 - RENOVADA</v>
          </cell>
          <cell r="AP91">
            <v>2008798058</v>
          </cell>
        </row>
        <row r="92">
          <cell r="AE92" t="str">
            <v>05 - ANULADA EN VIGENCIA</v>
          </cell>
          <cell r="AP92">
            <v>70204826</v>
          </cell>
        </row>
        <row r="93">
          <cell r="AE93" t="str">
            <v>05 - ANULADA EN VIGENCIA</v>
          </cell>
          <cell r="AP93">
            <v>16901262</v>
          </cell>
        </row>
        <row r="94">
          <cell r="AE94" t="str">
            <v>08 - VIGENCIA ANTERIOR</v>
          </cell>
          <cell r="AP94">
            <v>1096692</v>
          </cell>
        </row>
        <row r="95">
          <cell r="AE95" t="str">
            <v>08 - VIGENCIA ANTERIOR</v>
          </cell>
          <cell r="AP95">
            <v>1298686</v>
          </cell>
        </row>
        <row r="96">
          <cell r="AE96" t="str">
            <v>01 - RENOVADA</v>
          </cell>
          <cell r="AP96">
            <v>1575466</v>
          </cell>
        </row>
        <row r="97">
          <cell r="AE97" t="str">
            <v>05 - ANULADA EN VIGENCIA</v>
          </cell>
          <cell r="AP97">
            <v>70147266</v>
          </cell>
        </row>
        <row r="98">
          <cell r="AE98" t="str">
            <v>05 - ANULADA EN VIGENCIA</v>
          </cell>
          <cell r="AP98">
            <v>1071847</v>
          </cell>
        </row>
        <row r="99">
          <cell r="AE99" t="str">
            <v>05 - ANULADA EN VIGENCIA</v>
          </cell>
          <cell r="AP99">
            <v>1276393</v>
          </cell>
        </row>
        <row r="100">
          <cell r="AE100" t="str">
            <v>05 - ANULADA EN VIGENCIA</v>
          </cell>
          <cell r="AP100">
            <v>40793</v>
          </cell>
        </row>
        <row r="101">
          <cell r="AE101" t="str">
            <v>04 - NO RENOVADA</v>
          </cell>
          <cell r="AP101">
            <v>9189039</v>
          </cell>
        </row>
        <row r="102">
          <cell r="AE102" t="str">
            <v>04 - NO RENOVADA</v>
          </cell>
          <cell r="AP102">
            <v>9189040</v>
          </cell>
        </row>
        <row r="103">
          <cell r="AE103" t="str">
            <v>05 - ANULADA EN VIGENCIA</v>
          </cell>
          <cell r="AP103">
            <v>49522</v>
          </cell>
        </row>
        <row r="104">
          <cell r="AE104" t="str">
            <v>05 - ANULADA EN VIGENCIA</v>
          </cell>
          <cell r="AP104">
            <v>48051</v>
          </cell>
        </row>
        <row r="105">
          <cell r="AE105" t="str">
            <v>01 - RENOVADA</v>
          </cell>
          <cell r="AP105">
            <v>12119</v>
          </cell>
        </row>
        <row r="106">
          <cell r="AE106" t="str">
            <v>04 - NO RENOVADA</v>
          </cell>
          <cell r="AP106">
            <v>16696354</v>
          </cell>
        </row>
        <row r="107">
          <cell r="AE107" t="str">
            <v>05 - ANULADA EN VIGENCIA</v>
          </cell>
          <cell r="AP107">
            <v>48382</v>
          </cell>
        </row>
        <row r="108">
          <cell r="AE108" t="str">
            <v>04 - NO RENOVADA</v>
          </cell>
          <cell r="AP108">
            <v>5109682209</v>
          </cell>
        </row>
        <row r="109">
          <cell r="AE109" t="str">
            <v>01 - RENOVADA</v>
          </cell>
          <cell r="AP109">
            <v>2004102448</v>
          </cell>
        </row>
        <row r="110">
          <cell r="AE110" t="str">
            <v>01 - RENOVADA</v>
          </cell>
          <cell r="AP110">
            <v>13062114</v>
          </cell>
        </row>
        <row r="111">
          <cell r="AE111" t="str">
            <v>01 - RENOVADA</v>
          </cell>
          <cell r="AP111">
            <v>46625</v>
          </cell>
        </row>
        <row r="112">
          <cell r="AE112" t="str">
            <v>01 - RENOVADA</v>
          </cell>
          <cell r="AP112">
            <v>6110833</v>
          </cell>
        </row>
        <row r="113">
          <cell r="AE113" t="str">
            <v>01 - RENOVADA</v>
          </cell>
          <cell r="AP113">
            <v>586441</v>
          </cell>
        </row>
        <row r="114">
          <cell r="AE114" t="str">
            <v>01 - RENOVADA</v>
          </cell>
          <cell r="AP114">
            <v>2003824207</v>
          </cell>
        </row>
        <row r="115">
          <cell r="AE115" t="str">
            <v>05 - ANULADA EN VIGENCIA</v>
          </cell>
          <cell r="AP115">
            <v>16893491</v>
          </cell>
        </row>
        <row r="116">
          <cell r="AE116" t="str">
            <v>05 - ANULADA EN VIGENCIA</v>
          </cell>
          <cell r="AP116">
            <v>16893289</v>
          </cell>
        </row>
        <row r="117">
          <cell r="AE117" t="str">
            <v>01 - RENOVADA</v>
          </cell>
          <cell r="AP117">
            <v>16581467</v>
          </cell>
        </row>
        <row r="118">
          <cell r="AE118" t="str">
            <v>03 - PENDIENTE</v>
          </cell>
          <cell r="AP118">
            <v>4046</v>
          </cell>
        </row>
        <row r="119">
          <cell r="AE119" t="str">
            <v>05 - ANULADA EN VIGENCIA</v>
          </cell>
          <cell r="AP119">
            <v>2004536627</v>
          </cell>
        </row>
        <row r="120">
          <cell r="AE120" t="str">
            <v>01 - RENOVADA</v>
          </cell>
          <cell r="AP120">
            <v>70229396</v>
          </cell>
        </row>
        <row r="121">
          <cell r="AE121" t="str">
            <v>05 - ANULADA EN VIGENCIA</v>
          </cell>
          <cell r="AP121">
            <v>2003850245</v>
          </cell>
        </row>
        <row r="122">
          <cell r="AE122" t="str">
            <v>01 - RENOVADA</v>
          </cell>
          <cell r="AP122">
            <v>2010029445</v>
          </cell>
        </row>
        <row r="123">
          <cell r="AE123" t="str">
            <v>01 - RENOVADA</v>
          </cell>
          <cell r="AP123">
            <v>66835</v>
          </cell>
        </row>
        <row r="124">
          <cell r="AE124" t="str">
            <v>03 - PENDIENTE</v>
          </cell>
          <cell r="AP124">
            <v>45666</v>
          </cell>
        </row>
        <row r="125">
          <cell r="AE125" t="str">
            <v>05 - ANULADA EN VIGENCIA</v>
          </cell>
          <cell r="AP125">
            <v>75959</v>
          </cell>
        </row>
        <row r="126">
          <cell r="AE126" t="str">
            <v>05 - ANULADA EN VIGENCIA</v>
          </cell>
          <cell r="AP126">
            <v>16758897</v>
          </cell>
        </row>
        <row r="127">
          <cell r="AE127" t="str">
            <v>08 - VIGENCIA ANTERIOR</v>
          </cell>
          <cell r="AP127">
            <v>2009902453</v>
          </cell>
        </row>
        <row r="128">
          <cell r="AE128" t="str">
            <v>08 - VIGENCIA ANTERIOR</v>
          </cell>
          <cell r="AP128">
            <v>2009902453</v>
          </cell>
        </row>
        <row r="129">
          <cell r="AE129" t="str">
            <v>01 - RENOVADA</v>
          </cell>
          <cell r="AP129">
            <v>12206</v>
          </cell>
        </row>
        <row r="130">
          <cell r="AE130" t="str">
            <v>01 - RENOVADA</v>
          </cell>
          <cell r="AP130">
            <v>2009850140</v>
          </cell>
        </row>
        <row r="131">
          <cell r="AE131" t="str">
            <v>01 - RENOVADA</v>
          </cell>
          <cell r="AP131">
            <v>2009850286</v>
          </cell>
        </row>
        <row r="132">
          <cell r="AE132" t="str">
            <v>05 - ANULADA EN VIGENCIA</v>
          </cell>
          <cell r="AP132">
            <v>84487</v>
          </cell>
        </row>
        <row r="133">
          <cell r="AE133" t="str">
            <v>01 - RENOVADA</v>
          </cell>
          <cell r="AP133">
            <v>2010767816</v>
          </cell>
        </row>
        <row r="134">
          <cell r="AE134" t="str">
            <v>01 - RENOVADA</v>
          </cell>
          <cell r="AP134">
            <v>2010767874</v>
          </cell>
        </row>
        <row r="135">
          <cell r="AE135" t="str">
            <v>05 - ANULADA EN VIGENCIA</v>
          </cell>
          <cell r="AP135">
            <v>1238215</v>
          </cell>
        </row>
        <row r="136">
          <cell r="AE136" t="str">
            <v>04 - NO RENOVADA</v>
          </cell>
          <cell r="AP136">
            <v>30156056</v>
          </cell>
        </row>
        <row r="137">
          <cell r="AE137" t="str">
            <v>04 - NO RENOVADA</v>
          </cell>
          <cell r="AP137">
            <v>89495</v>
          </cell>
        </row>
        <row r="138">
          <cell r="AE138" t="str">
            <v>01 - RENOVADA</v>
          </cell>
          <cell r="AP138">
            <v>74518</v>
          </cell>
        </row>
        <row r="139">
          <cell r="AE139" t="str">
            <v>04 - NO RENOVADA</v>
          </cell>
          <cell r="AP139">
            <v>5109781387</v>
          </cell>
        </row>
        <row r="140">
          <cell r="AE140" t="str">
            <v>03 - PENDIENTE</v>
          </cell>
          <cell r="AP140" t="str">
            <v>TE-000604-0</v>
          </cell>
        </row>
        <row r="141">
          <cell r="AE141" t="str">
            <v>05 - ANULADA EN VIGENCIA</v>
          </cell>
          <cell r="AP141">
            <v>1019837</v>
          </cell>
        </row>
        <row r="142">
          <cell r="AE142" t="str">
            <v>05 - ANULADA EN VIGENCIA</v>
          </cell>
          <cell r="AP142">
            <v>2003956668</v>
          </cell>
        </row>
        <row r="143">
          <cell r="AE143" t="str">
            <v>05 - ANULADA EN VIGENCIA</v>
          </cell>
          <cell r="AP143">
            <v>4377</v>
          </cell>
        </row>
        <row r="144">
          <cell r="AE144" t="str">
            <v>05 - ANULADA EN VIGENCIA</v>
          </cell>
          <cell r="AP144" t="str">
            <v>E0027232</v>
          </cell>
        </row>
        <row r="145">
          <cell r="AE145" t="str">
            <v>01 - RENOVADA</v>
          </cell>
          <cell r="AP145">
            <v>74959</v>
          </cell>
        </row>
        <row r="146">
          <cell r="AE146" t="str">
            <v>05 - ANULADA EN VIGENCIA</v>
          </cell>
          <cell r="AP146">
            <v>2008791890</v>
          </cell>
        </row>
        <row r="147">
          <cell r="AE147" t="str">
            <v>01 - RENOVADA</v>
          </cell>
          <cell r="AP147">
            <v>70238582</v>
          </cell>
        </row>
        <row r="148">
          <cell r="AE148" t="str">
            <v>01 - RENOVADA</v>
          </cell>
          <cell r="AP148">
            <v>16756915</v>
          </cell>
        </row>
        <row r="149">
          <cell r="AE149" t="str">
            <v>04 - NO RENOVADA</v>
          </cell>
          <cell r="AP149">
            <v>47727</v>
          </cell>
        </row>
        <row r="150">
          <cell r="AE150" t="str">
            <v>01 - RENOVADA</v>
          </cell>
          <cell r="AP150">
            <v>70204689</v>
          </cell>
        </row>
        <row r="151">
          <cell r="AE151" t="str">
            <v>08 - VIGENCIA ANTERIOR</v>
          </cell>
          <cell r="AP151">
            <v>1003278</v>
          </cell>
        </row>
        <row r="152">
          <cell r="AE152" t="str">
            <v>01 - RENOVADA</v>
          </cell>
          <cell r="AP152">
            <v>1491923</v>
          </cell>
        </row>
        <row r="153">
          <cell r="AE153" t="str">
            <v>05 - ANULADA EN VIGENCIA</v>
          </cell>
          <cell r="AP153">
            <v>2004060575</v>
          </cell>
        </row>
        <row r="154">
          <cell r="AE154" t="str">
            <v>05 - ANULADA EN VIGENCIA</v>
          </cell>
          <cell r="AP154">
            <v>1006147</v>
          </cell>
        </row>
        <row r="155">
          <cell r="AE155" t="str">
            <v>05 - ANULADA EN VIGENCIA</v>
          </cell>
          <cell r="AP155">
            <v>1110336</v>
          </cell>
        </row>
        <row r="156">
          <cell r="AE156" t="str">
            <v>04 - NO RENOVADA</v>
          </cell>
          <cell r="AP156">
            <v>1309484</v>
          </cell>
        </row>
        <row r="157">
          <cell r="AE157" t="str">
            <v>03 - PENDIENTE</v>
          </cell>
          <cell r="AP157">
            <v>70204810</v>
          </cell>
        </row>
        <row r="158">
          <cell r="AE158" t="str">
            <v>05 - ANULADA EN VIGENCIA</v>
          </cell>
          <cell r="AP158">
            <v>1031408</v>
          </cell>
        </row>
        <row r="159">
          <cell r="AE159" t="str">
            <v>05 - ANULADA EN VIGENCIA</v>
          </cell>
          <cell r="AP159">
            <v>1234105</v>
          </cell>
        </row>
        <row r="160">
          <cell r="AE160" t="str">
            <v>01 - RENOVADA</v>
          </cell>
          <cell r="AP160">
            <v>1414541</v>
          </cell>
        </row>
        <row r="161">
          <cell r="AE161" t="str">
            <v>04 - NO RENOVADA</v>
          </cell>
          <cell r="AP161">
            <v>5109473523</v>
          </cell>
        </row>
        <row r="162">
          <cell r="AE162" t="str">
            <v>05 - ANULADA EN VIGENCIA</v>
          </cell>
          <cell r="AP162" t="str">
            <v>E0034149</v>
          </cell>
        </row>
        <row r="163">
          <cell r="AE163" t="str">
            <v>01 - RENOVADA</v>
          </cell>
          <cell r="AP163">
            <v>2008798115</v>
          </cell>
        </row>
        <row r="164">
          <cell r="AE164" t="str">
            <v>05 - ANULADA EN VIGENCIA</v>
          </cell>
          <cell r="AP164">
            <v>1243211</v>
          </cell>
        </row>
        <row r="165">
          <cell r="AE165" t="str">
            <v>01 - RENOVADA</v>
          </cell>
          <cell r="AP165">
            <v>1162159900065</v>
          </cell>
        </row>
        <row r="166">
          <cell r="AE166" t="str">
            <v>03 - PENDIENTE</v>
          </cell>
          <cell r="AP166">
            <v>1131477</v>
          </cell>
        </row>
        <row r="167">
          <cell r="AE167" t="str">
            <v>05 - ANULADA EN VIGENCIA</v>
          </cell>
          <cell r="AP167">
            <v>661988</v>
          </cell>
        </row>
        <row r="168">
          <cell r="AE168" t="str">
            <v>08 - VIGENCIA ANTERIOR</v>
          </cell>
          <cell r="AP168">
            <v>2004425858</v>
          </cell>
        </row>
        <row r="169">
          <cell r="AE169" t="str">
            <v>01 - RENOVADA</v>
          </cell>
          <cell r="AP169">
            <v>2002326426</v>
          </cell>
        </row>
        <row r="170">
          <cell r="AE170" t="str">
            <v>01 - RENOVADA</v>
          </cell>
          <cell r="AP170">
            <v>1488856</v>
          </cell>
        </row>
        <row r="171">
          <cell r="AE171" t="str">
            <v>01 - RENOVADA</v>
          </cell>
          <cell r="AP171">
            <v>13482</v>
          </cell>
        </row>
        <row r="172">
          <cell r="AE172" t="str">
            <v>08 - VIGENCIA ANTERIOR</v>
          </cell>
          <cell r="AP172">
            <v>2004669570</v>
          </cell>
        </row>
        <row r="173">
          <cell r="AE173" t="str">
            <v>01 - RENOVADA</v>
          </cell>
          <cell r="AP173">
            <v>1545397</v>
          </cell>
        </row>
        <row r="174">
          <cell r="AE174" t="str">
            <v>03 - PENDIENTE</v>
          </cell>
          <cell r="AP174">
            <v>1482625</v>
          </cell>
        </row>
        <row r="175">
          <cell r="AE175" t="str">
            <v>05 - ANULADA EN VIGENCIA</v>
          </cell>
          <cell r="AP175">
            <v>70182889</v>
          </cell>
        </row>
        <row r="176">
          <cell r="AE176" t="str">
            <v>04 - NO RENOVADA</v>
          </cell>
          <cell r="AP176">
            <v>16526438</v>
          </cell>
        </row>
        <row r="177">
          <cell r="AE177" t="str">
            <v>01 - RENOVADA</v>
          </cell>
          <cell r="AP177">
            <v>2009495075</v>
          </cell>
        </row>
        <row r="178">
          <cell r="AE178" t="str">
            <v>05 - ANULADA EN VIGENCIA</v>
          </cell>
          <cell r="AP178">
            <v>2003078144</v>
          </cell>
        </row>
        <row r="179">
          <cell r="AE179" t="str">
            <v>05 - ANULADA EN VIGENCIA</v>
          </cell>
          <cell r="AP179">
            <v>2005081066</v>
          </cell>
        </row>
        <row r="180">
          <cell r="AE180" t="str">
            <v>03 - PENDIENTE</v>
          </cell>
          <cell r="AP180">
            <v>2011037676</v>
          </cell>
        </row>
        <row r="181">
          <cell r="AE181" t="str">
            <v>01 - RENOVADA</v>
          </cell>
          <cell r="AP181">
            <v>3011500037471</v>
          </cell>
        </row>
        <row r="182">
          <cell r="AE182" t="str">
            <v>05 - ANULADA EN VIGENCIA</v>
          </cell>
          <cell r="AP182">
            <v>937299</v>
          </cell>
        </row>
        <row r="183">
          <cell r="AE183" t="str">
            <v>01 - RENOVADA</v>
          </cell>
          <cell r="AP183">
            <v>70214845</v>
          </cell>
        </row>
        <row r="184">
          <cell r="AE184" t="str">
            <v>03 - PENDIENTE</v>
          </cell>
          <cell r="AP184">
            <v>2003264555</v>
          </cell>
        </row>
        <row r="185">
          <cell r="AE185" t="str">
            <v>05 - ANULADA EN VIGENCIA</v>
          </cell>
          <cell r="AP185">
            <v>92858</v>
          </cell>
        </row>
        <row r="186">
          <cell r="AE186" t="str">
            <v>01 - RENOVADA</v>
          </cell>
          <cell r="AP186">
            <v>70227873</v>
          </cell>
        </row>
        <row r="187">
          <cell r="AE187" t="str">
            <v>01 - RENOVADA</v>
          </cell>
          <cell r="AP187">
            <v>2008162417</v>
          </cell>
        </row>
        <row r="188">
          <cell r="AE188" t="str">
            <v>01 - RENOVADA</v>
          </cell>
          <cell r="AP188">
            <v>70226467</v>
          </cell>
        </row>
        <row r="189">
          <cell r="AE189" t="str">
            <v>05 - ANULADA EN VIGENCIA</v>
          </cell>
          <cell r="AP189">
            <v>70205359</v>
          </cell>
        </row>
        <row r="190">
          <cell r="AE190" t="str">
            <v>08 - VIGENCIA ANTERIOR</v>
          </cell>
          <cell r="AP190">
            <v>70125112</v>
          </cell>
        </row>
        <row r="191">
          <cell r="AE191" t="str">
            <v>01 - RENOVADA</v>
          </cell>
          <cell r="AP191">
            <v>70216772</v>
          </cell>
        </row>
        <row r="192">
          <cell r="AE192" t="str">
            <v>01 - RENOVADA</v>
          </cell>
          <cell r="AP192">
            <v>2001389891</v>
          </cell>
        </row>
        <row r="193">
          <cell r="AE193" t="str">
            <v>01 - RENOVADA</v>
          </cell>
          <cell r="AP193">
            <v>2002349631</v>
          </cell>
        </row>
        <row r="194">
          <cell r="AE194" t="str">
            <v>05 - ANULADA EN VIGENCIA</v>
          </cell>
          <cell r="AP194">
            <v>950283</v>
          </cell>
        </row>
        <row r="195">
          <cell r="AE195" t="str">
            <v>05 - ANULADA EN VIGENCIA</v>
          </cell>
          <cell r="AP195">
            <v>1244138</v>
          </cell>
        </row>
        <row r="196">
          <cell r="AE196" t="str">
            <v>01 - RENOVADA</v>
          </cell>
          <cell r="AP196">
            <v>2010071059</v>
          </cell>
        </row>
        <row r="197">
          <cell r="AE197" t="str">
            <v>01 - RENOVADA</v>
          </cell>
          <cell r="AP197">
            <v>70199361</v>
          </cell>
        </row>
        <row r="198">
          <cell r="AE198" t="str">
            <v>05 - ANULADA EN VIGENCIA</v>
          </cell>
          <cell r="AP198">
            <v>16933474</v>
          </cell>
        </row>
        <row r="199">
          <cell r="AE199" t="str">
            <v>01 - RENOVADA</v>
          </cell>
          <cell r="AP199">
            <v>70216777</v>
          </cell>
        </row>
        <row r="200">
          <cell r="AE200" t="str">
            <v>05 - ANULADA EN VIGENCIA</v>
          </cell>
          <cell r="AP200">
            <v>46791</v>
          </cell>
        </row>
        <row r="201">
          <cell r="AE201" t="str">
            <v>08 - VIGENCIA ANTERIOR</v>
          </cell>
          <cell r="AP201">
            <v>2007482969</v>
          </cell>
        </row>
        <row r="202">
          <cell r="AE202" t="str">
            <v>05 - ANULADA EN VIGENCIA</v>
          </cell>
          <cell r="AP202">
            <v>2008797792</v>
          </cell>
        </row>
        <row r="203">
          <cell r="AE203" t="str">
            <v>01 - RENOVADA</v>
          </cell>
          <cell r="AP203">
            <v>2010774317</v>
          </cell>
        </row>
        <row r="204">
          <cell r="AE204" t="str">
            <v>01 - RENOVADA</v>
          </cell>
          <cell r="AP204">
            <v>9513637</v>
          </cell>
        </row>
        <row r="205">
          <cell r="AE205" t="str">
            <v>04 - NO RENOVADA</v>
          </cell>
          <cell r="AP205">
            <v>5109605686</v>
          </cell>
        </row>
        <row r="206">
          <cell r="AE206" t="str">
            <v>04 - NO RENOVADA</v>
          </cell>
          <cell r="AP206">
            <v>1019831</v>
          </cell>
        </row>
        <row r="207">
          <cell r="AE207" t="str">
            <v>01 - RENOVADA</v>
          </cell>
          <cell r="AP207">
            <v>1506713</v>
          </cell>
        </row>
        <row r="208">
          <cell r="AE208" t="str">
            <v>04 - NO RENOVADA</v>
          </cell>
          <cell r="AP208">
            <v>2007444610</v>
          </cell>
        </row>
        <row r="209">
          <cell r="AE209" t="str">
            <v>05 - ANULADA EN VIGENCIA</v>
          </cell>
          <cell r="AP209">
            <v>1201910400030</v>
          </cell>
        </row>
        <row r="210">
          <cell r="AE210" t="str">
            <v>05 - ANULADA EN VIGENCIA</v>
          </cell>
          <cell r="AP210">
            <v>2010734144</v>
          </cell>
        </row>
        <row r="211">
          <cell r="AE211" t="str">
            <v>05 - ANULADA EN VIGENCIA</v>
          </cell>
          <cell r="AP211">
            <v>2010774158</v>
          </cell>
        </row>
        <row r="212">
          <cell r="AE212" t="str">
            <v>08 - VIGENCIA ANTERIOR</v>
          </cell>
          <cell r="AP212">
            <v>1260326</v>
          </cell>
        </row>
        <row r="213">
          <cell r="AE213" t="str">
            <v>01 - RENOVADA</v>
          </cell>
          <cell r="AP213">
            <v>1538818</v>
          </cell>
        </row>
        <row r="214">
          <cell r="AE214" t="str">
            <v>08 - VIGENCIA ANTERIOR</v>
          </cell>
          <cell r="AP214">
            <v>33151</v>
          </cell>
        </row>
        <row r="215">
          <cell r="AE215" t="str">
            <v>01 - RENOVADA</v>
          </cell>
          <cell r="AP215">
            <v>129210652</v>
          </cell>
        </row>
        <row r="216">
          <cell r="AE216" t="str">
            <v>01 - RENOVADA</v>
          </cell>
          <cell r="AP216">
            <v>16741552</v>
          </cell>
        </row>
        <row r="217">
          <cell r="AE217" t="str">
            <v>01 - RENOVADA</v>
          </cell>
          <cell r="AP217">
            <v>16742454</v>
          </cell>
        </row>
        <row r="218">
          <cell r="AE218" t="str">
            <v>04 - NO RENOVADA</v>
          </cell>
          <cell r="AP218">
            <v>70127229</v>
          </cell>
        </row>
        <row r="219">
          <cell r="AE219" t="str">
            <v>01 - RENOVADA</v>
          </cell>
          <cell r="AP219">
            <v>2011508984</v>
          </cell>
        </row>
        <row r="220">
          <cell r="AE220" t="str">
            <v>04 - NO RENOVADA</v>
          </cell>
          <cell r="AP220">
            <v>2008593243</v>
          </cell>
        </row>
        <row r="221">
          <cell r="AE221" t="str">
            <v>01 - RENOVADA</v>
          </cell>
          <cell r="AP221">
            <v>16670877</v>
          </cell>
        </row>
        <row r="222">
          <cell r="AE222" t="str">
            <v>03 - PENDIENTE</v>
          </cell>
          <cell r="AP222">
            <v>2007904776</v>
          </cell>
        </row>
        <row r="223">
          <cell r="AE223" t="str">
            <v>01 - RENOVADA</v>
          </cell>
          <cell r="AP223">
            <v>67615</v>
          </cell>
        </row>
        <row r="224">
          <cell r="AE224" t="str">
            <v>01 - RENOVADA</v>
          </cell>
          <cell r="AP224">
            <v>2009751796</v>
          </cell>
        </row>
        <row r="225">
          <cell r="AE225" t="str">
            <v>08 - VIGENCIA ANTERIOR</v>
          </cell>
          <cell r="AP225">
            <v>2006418219</v>
          </cell>
        </row>
        <row r="226">
          <cell r="AE226" t="str">
            <v>04 - NO RENOVADA</v>
          </cell>
          <cell r="AP226">
            <v>7097475</v>
          </cell>
        </row>
        <row r="227">
          <cell r="AE227" t="str">
            <v>04 - NO RENOVADA</v>
          </cell>
          <cell r="AP227">
            <v>7939152</v>
          </cell>
        </row>
        <row r="228">
          <cell r="AE228" t="str">
            <v>01 - RENOVADA</v>
          </cell>
          <cell r="AP228">
            <v>70235398</v>
          </cell>
        </row>
        <row r="229">
          <cell r="AE229" t="str">
            <v>01 - RENOVADA</v>
          </cell>
          <cell r="AP229">
            <v>442971</v>
          </cell>
        </row>
        <row r="230">
          <cell r="AE230" t="str">
            <v>04 - NO RENOVADA</v>
          </cell>
          <cell r="AP230">
            <v>5109584334</v>
          </cell>
        </row>
        <row r="231">
          <cell r="AE231" t="str">
            <v>01 - RENOVADA</v>
          </cell>
          <cell r="AP231">
            <v>70245142</v>
          </cell>
        </row>
        <row r="232">
          <cell r="AE232" t="str">
            <v>04 - NO RENOVADA</v>
          </cell>
          <cell r="AP232">
            <v>70120830</v>
          </cell>
        </row>
        <row r="233">
          <cell r="AE233" t="str">
            <v>01 - RENOVADA</v>
          </cell>
          <cell r="AP233">
            <v>2007961738</v>
          </cell>
        </row>
        <row r="234">
          <cell r="AE234" t="str">
            <v>01 - RENOVADA</v>
          </cell>
          <cell r="AP234">
            <v>15035713</v>
          </cell>
        </row>
        <row r="235">
          <cell r="AE235" t="str">
            <v>03 - PENDIENTE</v>
          </cell>
          <cell r="AP235">
            <v>2009000281</v>
          </cell>
        </row>
        <row r="236">
          <cell r="AE236" t="str">
            <v>05 - ANULADA EN VIGENCIA</v>
          </cell>
          <cell r="AP236" t="str">
            <v>PRUEBA</v>
          </cell>
        </row>
        <row r="237">
          <cell r="AE237" t="str">
            <v>05 - ANULADA EN VIGENCIA</v>
          </cell>
          <cell r="AP237" t="str">
            <v>PRUEBA4</v>
          </cell>
        </row>
        <row r="238">
          <cell r="AE238" t="str">
            <v>01 - RENOVADA</v>
          </cell>
          <cell r="AP238">
            <v>1454542</v>
          </cell>
        </row>
        <row r="239">
          <cell r="AE239" t="str">
            <v>01 - RENOVADA</v>
          </cell>
          <cell r="AP239">
            <v>70210633</v>
          </cell>
        </row>
        <row r="240">
          <cell r="AE240" t="str">
            <v>01 - RENOVADA</v>
          </cell>
          <cell r="AP240">
            <v>70212979</v>
          </cell>
        </row>
        <row r="241">
          <cell r="AE241" t="str">
            <v>05 - ANULADA EN VIGENCIA</v>
          </cell>
          <cell r="AP241">
            <v>1096696</v>
          </cell>
        </row>
        <row r="242">
          <cell r="AE242" t="str">
            <v>08 - VIGENCIA ANTERIOR</v>
          </cell>
          <cell r="AP242">
            <v>2007764250</v>
          </cell>
        </row>
        <row r="243">
          <cell r="AE243" t="str">
            <v>01 - RENOVADA</v>
          </cell>
          <cell r="AP243">
            <v>2009004722</v>
          </cell>
        </row>
        <row r="244">
          <cell r="AE244" t="str">
            <v>03 - PENDIENTE</v>
          </cell>
          <cell r="AP244">
            <v>1142522</v>
          </cell>
        </row>
        <row r="245">
          <cell r="AE245" t="str">
            <v>01 - RENOVADA</v>
          </cell>
          <cell r="AP245">
            <v>983118</v>
          </cell>
        </row>
        <row r="246">
          <cell r="AE246" t="str">
            <v>01 - RENOVADA</v>
          </cell>
          <cell r="AP246">
            <v>2011515551</v>
          </cell>
        </row>
        <row r="247">
          <cell r="AE247" t="str">
            <v>04 - NO RENOVADA</v>
          </cell>
          <cell r="AP247">
            <v>70175341</v>
          </cell>
        </row>
        <row r="248">
          <cell r="AE248" t="str">
            <v>03 - PENDIENTE</v>
          </cell>
          <cell r="AP248">
            <v>17123720</v>
          </cell>
        </row>
        <row r="249">
          <cell r="AE249" t="str">
            <v>05 - ANULADA EN VIGENCIA</v>
          </cell>
          <cell r="AP249">
            <v>2004469560</v>
          </cell>
        </row>
        <row r="250">
          <cell r="AE250" t="str">
            <v>08 - VIGENCIA ANTERIOR</v>
          </cell>
          <cell r="AP250">
            <v>70124759</v>
          </cell>
        </row>
        <row r="251">
          <cell r="AE251" t="str">
            <v>01 - RENOVADA</v>
          </cell>
          <cell r="AP251">
            <v>70212205</v>
          </cell>
        </row>
        <row r="252">
          <cell r="AE252" t="str">
            <v>01 - RENOVADA</v>
          </cell>
          <cell r="AP252">
            <v>2004277937</v>
          </cell>
        </row>
        <row r="253">
          <cell r="AE253" t="str">
            <v>01 - RENOVADA</v>
          </cell>
          <cell r="AP253">
            <v>15340462</v>
          </cell>
        </row>
        <row r="254">
          <cell r="AE254" t="str">
            <v>01 - RENOVADA</v>
          </cell>
          <cell r="AP254">
            <v>133717781</v>
          </cell>
        </row>
        <row r="255">
          <cell r="AE255" t="str">
            <v>05 - ANULADA EN VIGENCIA</v>
          </cell>
          <cell r="AP255" t="str">
            <v>E0026457</v>
          </cell>
        </row>
        <row r="256">
          <cell r="AE256" t="str">
            <v>01 - RENOVADA</v>
          </cell>
          <cell r="AP256">
            <v>1400875</v>
          </cell>
        </row>
        <row r="257">
          <cell r="AE257" t="str">
            <v>01 - RENOVADA</v>
          </cell>
          <cell r="AP257">
            <v>1472894</v>
          </cell>
        </row>
        <row r="258">
          <cell r="AE258" t="str">
            <v>04 - NO RENOVADA</v>
          </cell>
          <cell r="AP258">
            <v>2004032639</v>
          </cell>
        </row>
        <row r="259">
          <cell r="AE259" t="str">
            <v>01 - RENOVADA</v>
          </cell>
          <cell r="AP259">
            <v>2009902449</v>
          </cell>
        </row>
        <row r="260">
          <cell r="AE260" t="str">
            <v>05 - ANULADA EN VIGENCIA</v>
          </cell>
          <cell r="AP260">
            <v>76087</v>
          </cell>
        </row>
        <row r="261">
          <cell r="AE261" t="str">
            <v>08 - VIGENCIA ANTERIOR</v>
          </cell>
          <cell r="AP261">
            <v>1059987</v>
          </cell>
        </row>
        <row r="262">
          <cell r="AE262" t="str">
            <v>01 - RENOVADA</v>
          </cell>
          <cell r="AP262">
            <v>1538631</v>
          </cell>
        </row>
        <row r="263">
          <cell r="AE263" t="str">
            <v>04 - NO RENOVADA</v>
          </cell>
          <cell r="AP263">
            <v>513904</v>
          </cell>
        </row>
        <row r="264">
          <cell r="AE264" t="str">
            <v>04 - NO RENOVADA</v>
          </cell>
          <cell r="AP264">
            <v>3480714</v>
          </cell>
        </row>
        <row r="265">
          <cell r="AE265" t="str">
            <v>01 - RENOVADA</v>
          </cell>
          <cell r="AP265">
            <v>2009849962</v>
          </cell>
        </row>
        <row r="266">
          <cell r="AE266" t="str">
            <v>04 - NO RENOVADA</v>
          </cell>
          <cell r="AP266">
            <v>1071637</v>
          </cell>
        </row>
        <row r="267">
          <cell r="AE267" t="str">
            <v>04 - NO RENOVADA</v>
          </cell>
          <cell r="AP267">
            <v>1275772</v>
          </cell>
        </row>
        <row r="268">
          <cell r="AE268" t="str">
            <v>08 - VIGENCIA ANTERIOR</v>
          </cell>
          <cell r="AP268">
            <v>1017976</v>
          </cell>
        </row>
        <row r="269">
          <cell r="AE269" t="str">
            <v>01 - RENOVADA</v>
          </cell>
          <cell r="AP269">
            <v>1483595</v>
          </cell>
        </row>
        <row r="270">
          <cell r="AE270" t="str">
            <v>01 - RENOVADA</v>
          </cell>
          <cell r="AP270">
            <v>2010521284</v>
          </cell>
        </row>
        <row r="271">
          <cell r="AE271" t="str">
            <v>01 - RENOVADA</v>
          </cell>
          <cell r="AP271">
            <v>9642997</v>
          </cell>
        </row>
        <row r="272">
          <cell r="AE272" t="str">
            <v>01 - RENOVADA</v>
          </cell>
          <cell r="AP272">
            <v>2010766457</v>
          </cell>
        </row>
        <row r="273">
          <cell r="AE273" t="str">
            <v>01 - RENOVADA</v>
          </cell>
          <cell r="AP273">
            <v>2010766650</v>
          </cell>
        </row>
        <row r="274">
          <cell r="AE274" t="str">
            <v>01 - RENOVADA</v>
          </cell>
          <cell r="AP274">
            <v>2010733668</v>
          </cell>
        </row>
        <row r="275">
          <cell r="AE275" t="str">
            <v>01 - RENOVADA</v>
          </cell>
          <cell r="AP275">
            <v>9584867</v>
          </cell>
        </row>
        <row r="276">
          <cell r="AE276" t="str">
            <v>01 - RENOVADA</v>
          </cell>
          <cell r="AP276">
            <v>2010337424</v>
          </cell>
        </row>
        <row r="277">
          <cell r="AE277" t="str">
            <v>05 - ANULADA EN VIGENCIA</v>
          </cell>
          <cell r="AP277">
            <v>1018561</v>
          </cell>
        </row>
        <row r="278">
          <cell r="AE278" t="str">
            <v>05 - ANULADA EN VIGENCIA</v>
          </cell>
          <cell r="AP278">
            <v>1117565</v>
          </cell>
        </row>
        <row r="279">
          <cell r="AE279" t="str">
            <v>08 - VIGENCIA ANTERIOR</v>
          </cell>
          <cell r="AP279">
            <v>1020687</v>
          </cell>
        </row>
        <row r="280">
          <cell r="AE280" t="str">
            <v>05 - ANULADA EN VIGENCIA</v>
          </cell>
          <cell r="AP280">
            <v>1227329</v>
          </cell>
        </row>
        <row r="281">
          <cell r="AE281" t="str">
            <v>01 - RENOVADA</v>
          </cell>
          <cell r="AP281">
            <v>2008784406</v>
          </cell>
        </row>
        <row r="282">
          <cell r="AE282" t="str">
            <v>05 - ANULADA EN VIGENCIA</v>
          </cell>
          <cell r="AP282">
            <v>2004654671</v>
          </cell>
        </row>
        <row r="283">
          <cell r="AE283" t="str">
            <v>01 - RENOVADA</v>
          </cell>
          <cell r="AP283">
            <v>2008783311</v>
          </cell>
        </row>
        <row r="284">
          <cell r="AE284" t="str">
            <v>01 - RENOVADA</v>
          </cell>
          <cell r="AP284">
            <v>2008797916</v>
          </cell>
        </row>
        <row r="285">
          <cell r="AE285" t="str">
            <v>04 - NO RENOVADA</v>
          </cell>
          <cell r="AP285">
            <v>2005073086</v>
          </cell>
        </row>
        <row r="286">
          <cell r="AE286" t="str">
            <v>01 - RENOVADA</v>
          </cell>
          <cell r="AP286">
            <v>7432</v>
          </cell>
        </row>
        <row r="287">
          <cell r="AE287" t="str">
            <v>04 - NO RENOVADA</v>
          </cell>
          <cell r="AP287">
            <v>70127217</v>
          </cell>
        </row>
        <row r="288">
          <cell r="AE288" t="str">
            <v>01 - RENOVADA</v>
          </cell>
          <cell r="AP288">
            <v>4011002161</v>
          </cell>
        </row>
        <row r="289">
          <cell r="AE289" t="str">
            <v>01 - RENOVADA</v>
          </cell>
          <cell r="AP289">
            <v>70227870</v>
          </cell>
        </row>
        <row r="290">
          <cell r="AE290" t="str">
            <v>01 - RENOVADA</v>
          </cell>
          <cell r="AP290">
            <v>10010150</v>
          </cell>
        </row>
        <row r="291">
          <cell r="AE291" t="str">
            <v>04 - NO RENOVADA</v>
          </cell>
          <cell r="AP291">
            <v>70125493</v>
          </cell>
        </row>
        <row r="292">
          <cell r="AE292" t="str">
            <v>08 - VIGENCIA ANTERIOR</v>
          </cell>
          <cell r="AP292">
            <v>70135356</v>
          </cell>
        </row>
        <row r="293">
          <cell r="AE293" t="str">
            <v>01 - RENOVADA</v>
          </cell>
          <cell r="AP293">
            <v>70227905</v>
          </cell>
        </row>
        <row r="294">
          <cell r="AE294" t="str">
            <v>05 - ANULADA EN VIGENCIA</v>
          </cell>
          <cell r="AP294">
            <v>70178902</v>
          </cell>
        </row>
        <row r="295">
          <cell r="AE295" t="str">
            <v>03 - PENDIENTE</v>
          </cell>
          <cell r="AP295" t="str">
            <v>TE-000137-0</v>
          </cell>
        </row>
        <row r="296">
          <cell r="AE296" t="str">
            <v>05 - ANULADA EN VIGENCIA</v>
          </cell>
          <cell r="AP296">
            <v>64986</v>
          </cell>
        </row>
        <row r="297">
          <cell r="AE297" t="str">
            <v>04 - NO RENOVADA</v>
          </cell>
          <cell r="AP297">
            <v>70118111</v>
          </cell>
        </row>
        <row r="298">
          <cell r="AE298" t="str">
            <v>03 - PENDIENTE</v>
          </cell>
          <cell r="AP298">
            <v>74840</v>
          </cell>
        </row>
        <row r="299">
          <cell r="AE299" t="str">
            <v>01 - RENOVADA</v>
          </cell>
          <cell r="AP299">
            <v>68178</v>
          </cell>
        </row>
        <row r="300">
          <cell r="AE300" t="str">
            <v>05 - ANULADA EN VIGENCIA</v>
          </cell>
          <cell r="AP300">
            <v>12207979</v>
          </cell>
        </row>
        <row r="301">
          <cell r="AE301" t="str">
            <v>08 - VIGENCIA ANTERIOR</v>
          </cell>
          <cell r="AP301">
            <v>2003347992</v>
          </cell>
        </row>
        <row r="302">
          <cell r="AE302" t="str">
            <v>05 - ANULADA EN VIGENCIA</v>
          </cell>
          <cell r="AP302">
            <v>2009390606</v>
          </cell>
        </row>
        <row r="303">
          <cell r="AE303" t="str">
            <v>05 - ANULADA EN VIGENCIA</v>
          </cell>
          <cell r="AP303">
            <v>2004612189</v>
          </cell>
        </row>
        <row r="304">
          <cell r="AE304" t="str">
            <v>01 - RENOVADA</v>
          </cell>
          <cell r="AP304">
            <v>70234289</v>
          </cell>
        </row>
        <row r="305">
          <cell r="AE305" t="str">
            <v>01 - RENOVADA</v>
          </cell>
          <cell r="AP305">
            <v>36481</v>
          </cell>
        </row>
        <row r="306">
          <cell r="AE306" t="str">
            <v>01 - RENOVADA</v>
          </cell>
          <cell r="AP306">
            <v>2009849775</v>
          </cell>
        </row>
        <row r="307">
          <cell r="AE307" t="str">
            <v>01 - RENOVADA</v>
          </cell>
          <cell r="AP307">
            <v>2009481378</v>
          </cell>
        </row>
        <row r="308">
          <cell r="AE308" t="str">
            <v>05 - ANULADA EN VIGENCIA</v>
          </cell>
          <cell r="AP308">
            <v>70228298</v>
          </cell>
        </row>
        <row r="309">
          <cell r="AE309" t="str">
            <v>01 - RENOVADA</v>
          </cell>
          <cell r="AP309">
            <v>2010226685</v>
          </cell>
        </row>
        <row r="310">
          <cell r="AE310" t="str">
            <v>01 - RENOVADA</v>
          </cell>
          <cell r="AP310">
            <v>1438544</v>
          </cell>
        </row>
        <row r="311">
          <cell r="AE311" t="str">
            <v>01 - RENOVADA</v>
          </cell>
          <cell r="AP311">
            <v>1201210800180</v>
          </cell>
        </row>
        <row r="312">
          <cell r="AE312" t="str">
            <v>01 - RENOVADA</v>
          </cell>
          <cell r="AP312">
            <v>2001814106</v>
          </cell>
        </row>
        <row r="313">
          <cell r="AE313" t="str">
            <v>05 - ANULADA EN VIGENCIA</v>
          </cell>
          <cell r="AP313" t="str">
            <v>E0025546</v>
          </cell>
        </row>
        <row r="314">
          <cell r="AE314" t="str">
            <v>04 - NO RENOVADA</v>
          </cell>
          <cell r="AP314">
            <v>2004438427</v>
          </cell>
        </row>
        <row r="315">
          <cell r="AE315" t="str">
            <v>05 - ANULADA EN VIGENCIA</v>
          </cell>
          <cell r="AP315">
            <v>2004359669</v>
          </cell>
        </row>
        <row r="316">
          <cell r="AE316" t="str">
            <v>01 - RENOVADA</v>
          </cell>
          <cell r="AP316">
            <v>2009849045</v>
          </cell>
        </row>
        <row r="317">
          <cell r="AE317" t="str">
            <v>05 - ANULADA EN VIGENCIA</v>
          </cell>
          <cell r="AP317">
            <v>2009962006</v>
          </cell>
        </row>
        <row r="318">
          <cell r="AE318" t="str">
            <v>01 - RENOVADA</v>
          </cell>
          <cell r="AP318">
            <v>2009844069</v>
          </cell>
        </row>
        <row r="319">
          <cell r="AE319" t="str">
            <v>01 - RENOVADA</v>
          </cell>
          <cell r="AP319">
            <v>1526048</v>
          </cell>
        </row>
        <row r="320">
          <cell r="AE320" t="str">
            <v>01 - RENOVADA</v>
          </cell>
          <cell r="AP320">
            <v>1529092</v>
          </cell>
        </row>
        <row r="321">
          <cell r="AE321" t="str">
            <v>08 - VIGENCIA ANTERIOR</v>
          </cell>
          <cell r="AP321">
            <v>2000449578</v>
          </cell>
        </row>
        <row r="322">
          <cell r="AE322" t="str">
            <v>01 - RENOVADA</v>
          </cell>
          <cell r="AP322">
            <v>44125</v>
          </cell>
        </row>
        <row r="323">
          <cell r="AE323" t="str">
            <v>01 - RENOVADA</v>
          </cell>
          <cell r="AP323">
            <v>70238588</v>
          </cell>
        </row>
        <row r="324">
          <cell r="AE324" t="str">
            <v>05 - ANULADA EN VIGENCIA</v>
          </cell>
          <cell r="AP324">
            <v>70186731</v>
          </cell>
        </row>
        <row r="325">
          <cell r="AE325" t="str">
            <v>01 - RENOVADA</v>
          </cell>
          <cell r="AP325">
            <v>2009850191</v>
          </cell>
        </row>
        <row r="326">
          <cell r="AE326" t="str">
            <v>05 - ANULADA EN VIGENCIA</v>
          </cell>
          <cell r="AP326">
            <v>4067</v>
          </cell>
        </row>
        <row r="327">
          <cell r="AE327" t="str">
            <v>05 - ANULADA EN VIGENCIA</v>
          </cell>
          <cell r="AP327">
            <v>2000509672</v>
          </cell>
        </row>
        <row r="328">
          <cell r="AE328" t="str">
            <v>04 - NO RENOVADA</v>
          </cell>
          <cell r="AP328">
            <v>3676</v>
          </cell>
        </row>
        <row r="329">
          <cell r="AE329" t="str">
            <v>05 - ANULADA EN VIGENCIA</v>
          </cell>
          <cell r="AP329">
            <v>1114444</v>
          </cell>
        </row>
        <row r="330">
          <cell r="AE330" t="str">
            <v>01 - RENOVADA</v>
          </cell>
          <cell r="AP330">
            <v>1416594</v>
          </cell>
        </row>
        <row r="331">
          <cell r="AE331" t="str">
            <v>05 - ANULADA EN VIGENCIA</v>
          </cell>
          <cell r="AP331">
            <v>70143134</v>
          </cell>
        </row>
        <row r="332">
          <cell r="AE332" t="str">
            <v>05 - ANULADA EN VIGENCIA</v>
          </cell>
          <cell r="AP332">
            <v>2489676</v>
          </cell>
        </row>
        <row r="333">
          <cell r="AE333" t="str">
            <v>01 - RENOVADA</v>
          </cell>
          <cell r="AP333">
            <v>1509956</v>
          </cell>
        </row>
        <row r="334">
          <cell r="AE334" t="str">
            <v>05 - ANULADA EN VIGENCIA</v>
          </cell>
          <cell r="AP334">
            <v>8716</v>
          </cell>
        </row>
        <row r="335">
          <cell r="AE335" t="str">
            <v>01 - RENOVADA</v>
          </cell>
          <cell r="AP335">
            <v>1490998</v>
          </cell>
        </row>
        <row r="336">
          <cell r="AE336" t="str">
            <v>01 - RENOVADA</v>
          </cell>
          <cell r="AP336">
            <v>9463048</v>
          </cell>
        </row>
        <row r="337">
          <cell r="AE337" t="str">
            <v>01 - RENOVADA</v>
          </cell>
          <cell r="AP337">
            <v>15030303</v>
          </cell>
        </row>
        <row r="338">
          <cell r="AE338" t="str">
            <v>05 - ANULADA EN VIGENCIA</v>
          </cell>
          <cell r="AP338">
            <v>1250124</v>
          </cell>
        </row>
        <row r="339">
          <cell r="AE339" t="str">
            <v>05 - ANULADA EN VIGENCIA</v>
          </cell>
          <cell r="AP339">
            <v>1337778</v>
          </cell>
        </row>
        <row r="340">
          <cell r="AE340" t="str">
            <v>01 - RENOVADA</v>
          </cell>
          <cell r="AP340">
            <v>2009749717</v>
          </cell>
        </row>
        <row r="341">
          <cell r="AE341" t="str">
            <v>01 - RENOVADA</v>
          </cell>
          <cell r="AP341">
            <v>2008644017</v>
          </cell>
        </row>
        <row r="342">
          <cell r="AE342" t="str">
            <v>01 - RENOVADA</v>
          </cell>
          <cell r="AP342">
            <v>2009010198</v>
          </cell>
        </row>
        <row r="343">
          <cell r="AE343" t="str">
            <v>08 - VIGENCIA ANTERIOR</v>
          </cell>
          <cell r="AP343">
            <v>770954</v>
          </cell>
        </row>
        <row r="344">
          <cell r="AE344" t="str">
            <v>04 - NO RENOVADA</v>
          </cell>
          <cell r="AP344">
            <v>1059091</v>
          </cell>
        </row>
        <row r="345">
          <cell r="AE345" t="str">
            <v>04 - NO RENOVADA</v>
          </cell>
          <cell r="AP345">
            <v>5109802593</v>
          </cell>
        </row>
        <row r="346">
          <cell r="AE346" t="str">
            <v>01 - RENOVADA</v>
          </cell>
          <cell r="AP346">
            <v>37291</v>
          </cell>
        </row>
        <row r="347">
          <cell r="AE347" t="str">
            <v>01 - RENOVADA</v>
          </cell>
          <cell r="AP347">
            <v>37313</v>
          </cell>
        </row>
        <row r="348">
          <cell r="AE348" t="str">
            <v>04 - NO RENOVADA</v>
          </cell>
          <cell r="AP348">
            <v>4004006384</v>
          </cell>
        </row>
        <row r="349">
          <cell r="AE349" t="str">
            <v>05 - ANULADA EN VIGENCIA</v>
          </cell>
          <cell r="AP349">
            <v>86584</v>
          </cell>
        </row>
        <row r="350">
          <cell r="AE350" t="str">
            <v>03 - PENDIENTE</v>
          </cell>
          <cell r="AP350">
            <v>132551328</v>
          </cell>
        </row>
        <row r="351">
          <cell r="AE351" t="str">
            <v>05 - ANULADA EN VIGENCIA</v>
          </cell>
          <cell r="AP351">
            <v>12234759</v>
          </cell>
        </row>
        <row r="352">
          <cell r="AE352" t="str">
            <v>04 - NO RENOVADA</v>
          </cell>
          <cell r="AP352">
            <v>1068616</v>
          </cell>
        </row>
        <row r="353">
          <cell r="AE353" t="str">
            <v>04 - NO RENOVADA</v>
          </cell>
          <cell r="AP353">
            <v>1276118</v>
          </cell>
        </row>
        <row r="354">
          <cell r="AE354" t="str">
            <v>01 - RENOVADA</v>
          </cell>
          <cell r="AP354">
            <v>70210553</v>
          </cell>
        </row>
        <row r="355">
          <cell r="AE355" t="str">
            <v>04 - NO RENOVADA</v>
          </cell>
          <cell r="AP355">
            <v>70175981</v>
          </cell>
        </row>
        <row r="356">
          <cell r="AE356" t="str">
            <v>01 - RENOVADA</v>
          </cell>
          <cell r="AP356">
            <v>1463838</v>
          </cell>
        </row>
        <row r="357">
          <cell r="AE357" t="str">
            <v>08 - VIGENCIA ANTERIOR</v>
          </cell>
          <cell r="AP357">
            <v>1100383</v>
          </cell>
        </row>
        <row r="358">
          <cell r="AE358" t="str">
            <v>08 - VIGENCIA ANTERIOR</v>
          </cell>
          <cell r="AP358">
            <v>1300402</v>
          </cell>
        </row>
        <row r="359">
          <cell r="AE359" t="str">
            <v>01 - RENOVADA</v>
          </cell>
          <cell r="AP359">
            <v>1575487</v>
          </cell>
        </row>
        <row r="360">
          <cell r="AE360" t="str">
            <v>04 - NO RENOVADA</v>
          </cell>
          <cell r="AP360">
            <v>2004799080</v>
          </cell>
        </row>
        <row r="361">
          <cell r="AE361" t="str">
            <v>05 - ANULADA EN VIGENCIA</v>
          </cell>
          <cell r="AP361">
            <v>45311</v>
          </cell>
        </row>
        <row r="362">
          <cell r="AE362" t="str">
            <v>05 - ANULADA EN VIGENCIA</v>
          </cell>
          <cell r="AP362">
            <v>2004689819</v>
          </cell>
        </row>
        <row r="363">
          <cell r="AE363" t="str">
            <v>04 - NO RENOVADA</v>
          </cell>
          <cell r="AP363">
            <v>2004814690</v>
          </cell>
        </row>
        <row r="364">
          <cell r="AE364" t="str">
            <v>08 - VIGENCIA ANTERIOR</v>
          </cell>
          <cell r="AP364">
            <v>1019816</v>
          </cell>
        </row>
        <row r="365">
          <cell r="AE365" t="str">
            <v>01 - RENOVADA</v>
          </cell>
          <cell r="AP365">
            <v>1507049</v>
          </cell>
        </row>
        <row r="366">
          <cell r="AE366" t="str">
            <v>05 - ANULADA EN VIGENCIA</v>
          </cell>
          <cell r="AP366">
            <v>2009404589</v>
          </cell>
        </row>
        <row r="367">
          <cell r="AE367" t="str">
            <v>05 - ANULADA EN VIGENCIA</v>
          </cell>
          <cell r="AP367">
            <v>2009470133</v>
          </cell>
        </row>
        <row r="368">
          <cell r="AE368" t="str">
            <v>01 - RENOVADA</v>
          </cell>
          <cell r="AP368">
            <v>2011420462</v>
          </cell>
        </row>
        <row r="369">
          <cell r="AE369" t="str">
            <v>08 - VIGENCIA ANTERIOR</v>
          </cell>
          <cell r="AP369">
            <v>2007256812</v>
          </cell>
        </row>
        <row r="370">
          <cell r="AE370" t="str">
            <v>01 - RENOVADA</v>
          </cell>
          <cell r="AP370">
            <v>2008639519</v>
          </cell>
        </row>
        <row r="371">
          <cell r="AE371" t="str">
            <v>08 - VIGENCIA ANTERIOR</v>
          </cell>
          <cell r="AP371">
            <v>1063599</v>
          </cell>
        </row>
        <row r="372">
          <cell r="AE372" t="str">
            <v>04 - NO RENOVADA</v>
          </cell>
          <cell r="AP372">
            <v>1276117</v>
          </cell>
        </row>
        <row r="373">
          <cell r="AE373" t="str">
            <v>04 - NO RENOVADA</v>
          </cell>
          <cell r="AP373">
            <v>2009501456</v>
          </cell>
        </row>
        <row r="374">
          <cell r="AE374" t="str">
            <v>05 - ANULADA EN VIGENCIA</v>
          </cell>
          <cell r="AP374" t="str">
            <v>E0030165</v>
          </cell>
        </row>
        <row r="375">
          <cell r="AE375" t="str">
            <v>08 - VIGENCIA ANTERIOR</v>
          </cell>
          <cell r="AP375">
            <v>33196</v>
          </cell>
        </row>
        <row r="376">
          <cell r="AE376" t="str">
            <v>01 - RENOVADA</v>
          </cell>
          <cell r="AP376">
            <v>11099</v>
          </cell>
        </row>
        <row r="377">
          <cell r="AE377" t="str">
            <v>05 - ANULADA EN VIGENCIA</v>
          </cell>
          <cell r="AP377">
            <v>2005487582</v>
          </cell>
        </row>
        <row r="378">
          <cell r="AE378" t="str">
            <v>05 - ANULADA EN VIGENCIA</v>
          </cell>
          <cell r="AP378">
            <v>2009000204</v>
          </cell>
        </row>
        <row r="379">
          <cell r="AE379" t="str">
            <v>01 - RENOVADA</v>
          </cell>
          <cell r="AP379">
            <v>2010767211</v>
          </cell>
        </row>
        <row r="380">
          <cell r="AE380" t="str">
            <v>05 - ANULADA EN VIGENCIA</v>
          </cell>
          <cell r="AP380">
            <v>220020662</v>
          </cell>
        </row>
        <row r="381">
          <cell r="AE381" t="str">
            <v>01 - RENOVADA</v>
          </cell>
          <cell r="AP381">
            <v>70220645</v>
          </cell>
        </row>
        <row r="382">
          <cell r="AE382" t="str">
            <v>04 - NO RENOVADA</v>
          </cell>
          <cell r="AP382">
            <v>1125459</v>
          </cell>
        </row>
        <row r="383">
          <cell r="AE383" t="str">
            <v>03 - PENDIENTE</v>
          </cell>
          <cell r="AP383">
            <v>2001189382</v>
          </cell>
        </row>
        <row r="384">
          <cell r="AE384" t="str">
            <v>03 - PENDIENTE</v>
          </cell>
          <cell r="AP384">
            <v>874589</v>
          </cell>
        </row>
        <row r="385">
          <cell r="AE385" t="str">
            <v>01 - RENOVADA</v>
          </cell>
          <cell r="AP385">
            <v>2011920896</v>
          </cell>
        </row>
        <row r="386">
          <cell r="AE386" t="str">
            <v>01 - RENOVADA</v>
          </cell>
          <cell r="AP386">
            <v>451859</v>
          </cell>
        </row>
        <row r="387">
          <cell r="AE387" t="str">
            <v>08 - VIGENCIA ANTERIOR</v>
          </cell>
          <cell r="AP387">
            <v>1064932</v>
          </cell>
        </row>
        <row r="388">
          <cell r="AE388" t="str">
            <v>08 - VIGENCIA ANTERIOR</v>
          </cell>
          <cell r="AP388">
            <v>1274746</v>
          </cell>
        </row>
        <row r="389">
          <cell r="AE389" t="str">
            <v>05 - ANULADA EN VIGENCIA</v>
          </cell>
          <cell r="AP389">
            <v>1538668</v>
          </cell>
        </row>
        <row r="390">
          <cell r="AE390" t="str">
            <v>01 - RENOVADA</v>
          </cell>
          <cell r="AP390">
            <v>2010547483</v>
          </cell>
        </row>
        <row r="391">
          <cell r="AE391" t="str">
            <v>05 - ANULADA EN VIGENCIA</v>
          </cell>
          <cell r="AP391">
            <v>2004381744</v>
          </cell>
        </row>
        <row r="392">
          <cell r="AE392" t="str">
            <v>01 - RENOVADA</v>
          </cell>
          <cell r="AP392">
            <v>2008501307</v>
          </cell>
        </row>
        <row r="393">
          <cell r="AE393" t="str">
            <v>05 - ANULADA EN VIGENCIA</v>
          </cell>
          <cell r="AP393">
            <v>2001797060</v>
          </cell>
        </row>
        <row r="394">
          <cell r="AE394" t="str">
            <v>01 - RENOVADA</v>
          </cell>
          <cell r="AP394">
            <v>2009697932</v>
          </cell>
        </row>
        <row r="395">
          <cell r="AE395" t="str">
            <v>01 - RENOVADA</v>
          </cell>
          <cell r="AP395">
            <v>340002245</v>
          </cell>
        </row>
        <row r="396">
          <cell r="AE396" t="str">
            <v>01 - RENOVADA</v>
          </cell>
          <cell r="AP396">
            <v>2008398149</v>
          </cell>
        </row>
        <row r="397">
          <cell r="AE397" t="str">
            <v>04 - NO RENOVADA</v>
          </cell>
          <cell r="AP397" t="str">
            <v>D8H523</v>
          </cell>
        </row>
        <row r="398">
          <cell r="AE398" t="str">
            <v>01 - RENOVADA</v>
          </cell>
          <cell r="AP398">
            <v>1575492</v>
          </cell>
        </row>
        <row r="399">
          <cell r="AE399" t="str">
            <v>04 - NO RENOVADA</v>
          </cell>
          <cell r="AP399">
            <v>45991</v>
          </cell>
        </row>
        <row r="400">
          <cell r="AE400" t="str">
            <v>05 - ANULADA EN VIGENCIA</v>
          </cell>
          <cell r="AP400">
            <v>5236</v>
          </cell>
        </row>
        <row r="401">
          <cell r="AE401" t="str">
            <v>05 - ANULADA EN VIGENCIA</v>
          </cell>
          <cell r="AP401">
            <v>2009404526</v>
          </cell>
        </row>
        <row r="402">
          <cell r="AE402" t="str">
            <v>01 - RENOVADA</v>
          </cell>
          <cell r="AP402">
            <v>2009470197</v>
          </cell>
        </row>
        <row r="403">
          <cell r="AE403" t="str">
            <v>05 - ANULADA EN VIGENCIA</v>
          </cell>
          <cell r="AP403">
            <v>1009132</v>
          </cell>
        </row>
        <row r="404">
          <cell r="AE404" t="str">
            <v>08 - VIGENCIA ANTERIOR</v>
          </cell>
          <cell r="AP404">
            <v>540871</v>
          </cell>
        </row>
        <row r="405">
          <cell r="AE405" t="str">
            <v>08 - VIGENCIA ANTERIOR</v>
          </cell>
          <cell r="AP405">
            <v>1019827</v>
          </cell>
        </row>
        <row r="406">
          <cell r="AE406" t="str">
            <v>01 - RENOVADA</v>
          </cell>
          <cell r="AP406">
            <v>1525337</v>
          </cell>
        </row>
        <row r="407">
          <cell r="AE407" t="str">
            <v>04 - NO RENOVADA</v>
          </cell>
          <cell r="AP407">
            <v>1383611</v>
          </cell>
        </row>
        <row r="408">
          <cell r="AE408" t="str">
            <v>01 - RENOVADA</v>
          </cell>
          <cell r="AP408">
            <v>79358</v>
          </cell>
        </row>
        <row r="409">
          <cell r="AE409" t="str">
            <v>05 - ANULADA EN VIGENCIA</v>
          </cell>
          <cell r="AP409">
            <v>17040713</v>
          </cell>
        </row>
        <row r="410">
          <cell r="AE410" t="str">
            <v>05 - ANULADA EN VIGENCIA</v>
          </cell>
          <cell r="AP410">
            <v>2009812742</v>
          </cell>
        </row>
        <row r="411">
          <cell r="AE411" t="str">
            <v>05 - ANULADA EN VIGENCIA</v>
          </cell>
          <cell r="AP411">
            <v>33782</v>
          </cell>
        </row>
        <row r="412">
          <cell r="AE412" t="str">
            <v>05 - ANULADA EN VIGENCIA</v>
          </cell>
          <cell r="AP412">
            <v>1394789</v>
          </cell>
        </row>
        <row r="413">
          <cell r="AE413" t="str">
            <v>01 - RENOVADA</v>
          </cell>
          <cell r="AP413">
            <v>2003823834</v>
          </cell>
        </row>
        <row r="414">
          <cell r="AE414" t="str">
            <v>08 - VIGENCIA ANTERIOR</v>
          </cell>
          <cell r="AP414">
            <v>1096687</v>
          </cell>
        </row>
        <row r="415">
          <cell r="AE415" t="str">
            <v>08 - VIGENCIA ANTERIOR</v>
          </cell>
          <cell r="AP415">
            <v>1298684</v>
          </cell>
        </row>
        <row r="416">
          <cell r="AE416" t="str">
            <v>01 - RENOVADA</v>
          </cell>
          <cell r="AP416">
            <v>70248060</v>
          </cell>
        </row>
        <row r="417">
          <cell r="AE417" t="str">
            <v>04 - NO RENOVADA</v>
          </cell>
          <cell r="AP417">
            <v>2004253401</v>
          </cell>
        </row>
        <row r="418">
          <cell r="AE418" t="str">
            <v>04 - NO RENOVADA</v>
          </cell>
          <cell r="AP418">
            <v>1379515</v>
          </cell>
        </row>
        <row r="419">
          <cell r="AE419" t="str">
            <v>04 - NO RENOVADA</v>
          </cell>
          <cell r="AP419">
            <v>317851</v>
          </cell>
        </row>
        <row r="420">
          <cell r="AE420" t="str">
            <v>04 - NO RENOVADA</v>
          </cell>
          <cell r="AP420">
            <v>1067041</v>
          </cell>
        </row>
        <row r="421">
          <cell r="AE421" t="str">
            <v>08 - VIGENCIA ANTERIOR</v>
          </cell>
          <cell r="AP421">
            <v>2007333211</v>
          </cell>
        </row>
        <row r="422">
          <cell r="AE422" t="str">
            <v>04 - NO RENOVADA</v>
          </cell>
          <cell r="AP422">
            <v>1272197</v>
          </cell>
        </row>
        <row r="423">
          <cell r="AE423" t="str">
            <v>05 - ANULADA EN VIGENCIA</v>
          </cell>
          <cell r="AP423">
            <v>2008791249</v>
          </cell>
        </row>
        <row r="424">
          <cell r="AE424" t="str">
            <v>05 - ANULADA EN VIGENCIA</v>
          </cell>
          <cell r="AP424">
            <v>50897</v>
          </cell>
        </row>
        <row r="425">
          <cell r="AE425" t="str">
            <v>04 - NO RENOVADA</v>
          </cell>
          <cell r="AP425">
            <v>6789827</v>
          </cell>
        </row>
        <row r="426">
          <cell r="AE426" t="str">
            <v>01 - RENOVADA</v>
          </cell>
          <cell r="AP426">
            <v>9629886</v>
          </cell>
        </row>
        <row r="427">
          <cell r="AE427" t="str">
            <v>08 - VIGENCIA ANTERIOR</v>
          </cell>
          <cell r="AP427">
            <v>942974</v>
          </cell>
        </row>
        <row r="428">
          <cell r="AE428" t="str">
            <v>05 - ANULADA EN VIGENCIA</v>
          </cell>
          <cell r="AP428">
            <v>1027064</v>
          </cell>
        </row>
        <row r="429">
          <cell r="AE429" t="str">
            <v>05 - ANULADA EN VIGENCIA</v>
          </cell>
          <cell r="AP429">
            <v>1243400</v>
          </cell>
        </row>
        <row r="430">
          <cell r="AE430" t="str">
            <v>05 - ANULADA EN VIGENCIA</v>
          </cell>
          <cell r="AP430">
            <v>513590</v>
          </cell>
        </row>
        <row r="431">
          <cell r="AE431" t="str">
            <v>04 - NO RENOVADA</v>
          </cell>
          <cell r="AP431">
            <v>1414885</v>
          </cell>
        </row>
        <row r="432">
          <cell r="AE432" t="str">
            <v>08 - VIGENCIA ANTERIOR</v>
          </cell>
          <cell r="AP432">
            <v>7052652</v>
          </cell>
        </row>
        <row r="433">
          <cell r="AE433" t="str">
            <v>08 - VIGENCIA ANTERIOR</v>
          </cell>
          <cell r="AP433">
            <v>7892935</v>
          </cell>
        </row>
        <row r="434">
          <cell r="AE434" t="str">
            <v>01 - RENOVADA</v>
          </cell>
          <cell r="AP434">
            <v>9565177</v>
          </cell>
        </row>
        <row r="435">
          <cell r="AE435" t="str">
            <v>01 - RENOVADA</v>
          </cell>
          <cell r="AP435">
            <v>1509899</v>
          </cell>
        </row>
        <row r="436">
          <cell r="AE436" t="str">
            <v>08 - VIGENCIA ANTERIOR</v>
          </cell>
          <cell r="AP436">
            <v>7274552</v>
          </cell>
        </row>
        <row r="437">
          <cell r="AE437" t="str">
            <v>08 - VIGENCIA ANTERIOR</v>
          </cell>
          <cell r="AP437">
            <v>8103469</v>
          </cell>
        </row>
        <row r="438">
          <cell r="AE438" t="str">
            <v>04 - NO RENOVADA</v>
          </cell>
          <cell r="AP438">
            <v>8753970</v>
          </cell>
        </row>
        <row r="439">
          <cell r="AE439" t="str">
            <v>03 - PENDIENTE</v>
          </cell>
          <cell r="AP439">
            <v>9429707</v>
          </cell>
        </row>
        <row r="440">
          <cell r="AE440" t="str">
            <v>01 - RENOVADA</v>
          </cell>
          <cell r="AP440">
            <v>14587855</v>
          </cell>
        </row>
        <row r="441">
          <cell r="AE441" t="str">
            <v>01 - RENOVADA</v>
          </cell>
          <cell r="AP441">
            <v>2000302292</v>
          </cell>
        </row>
        <row r="442">
          <cell r="AE442" t="str">
            <v>03 - PENDIENTE</v>
          </cell>
          <cell r="AP442">
            <v>2002264102</v>
          </cell>
        </row>
        <row r="443">
          <cell r="AE443" t="str">
            <v>01 - RENOVADA</v>
          </cell>
          <cell r="AP443">
            <v>16706289</v>
          </cell>
        </row>
        <row r="444">
          <cell r="AE444" t="str">
            <v>05 - ANULADA EN VIGENCIA</v>
          </cell>
          <cell r="AP444">
            <v>16698781</v>
          </cell>
        </row>
        <row r="445">
          <cell r="AE445" t="str">
            <v>05 - ANULADA EN VIGENCIA</v>
          </cell>
          <cell r="AP445" t="str">
            <v>E0027786</v>
          </cell>
        </row>
        <row r="446">
          <cell r="AE446" t="str">
            <v>01 - RENOVADA</v>
          </cell>
          <cell r="AP446">
            <v>17150807</v>
          </cell>
        </row>
        <row r="447">
          <cell r="AE447" t="str">
            <v>04 - NO RENOVADA</v>
          </cell>
          <cell r="AP447">
            <v>5109538838</v>
          </cell>
        </row>
        <row r="448">
          <cell r="AE448" t="str">
            <v>01 - RENOVADA</v>
          </cell>
          <cell r="AP448">
            <v>70229383</v>
          </cell>
        </row>
        <row r="449">
          <cell r="AE449" t="str">
            <v>05 - ANULADA EN VIGENCIA</v>
          </cell>
          <cell r="AP449">
            <v>3012100010279</v>
          </cell>
        </row>
        <row r="450">
          <cell r="AE450" t="str">
            <v>05 - ANULADA EN VIGENCIA</v>
          </cell>
          <cell r="AP450">
            <v>2004612568</v>
          </cell>
        </row>
        <row r="451">
          <cell r="AE451" t="str">
            <v>05 - ANULADA EN VIGENCIA</v>
          </cell>
          <cell r="AP451">
            <v>2010917247</v>
          </cell>
        </row>
        <row r="452">
          <cell r="AE452" t="str">
            <v>05 - ANULADA EN VIGENCIA</v>
          </cell>
          <cell r="AP452">
            <v>2004918433</v>
          </cell>
        </row>
        <row r="453">
          <cell r="AE453" t="str">
            <v>08 - VIGENCIA ANTERIOR</v>
          </cell>
          <cell r="AP453">
            <v>2007451638</v>
          </cell>
        </row>
        <row r="454">
          <cell r="AE454" t="str">
            <v>01 - RENOVADA</v>
          </cell>
          <cell r="AP454">
            <v>2008798140</v>
          </cell>
        </row>
        <row r="455">
          <cell r="AE455" t="str">
            <v>05 - ANULADA EN VIGENCIA</v>
          </cell>
          <cell r="AP455" t="str">
            <v>1444479-04</v>
          </cell>
        </row>
        <row r="456">
          <cell r="AE456" t="str">
            <v>05 - ANULADA EN VIGENCIA</v>
          </cell>
          <cell r="AP456">
            <v>1359385</v>
          </cell>
        </row>
        <row r="457">
          <cell r="AE457" t="str">
            <v>08 - VIGENCIA ANTERIOR</v>
          </cell>
          <cell r="AP457">
            <v>1087931</v>
          </cell>
        </row>
        <row r="458">
          <cell r="AE458" t="str">
            <v>08 - VIGENCIA ANTERIOR</v>
          </cell>
          <cell r="AP458">
            <v>1087932</v>
          </cell>
        </row>
        <row r="459">
          <cell r="AE459" t="str">
            <v>08 - VIGENCIA ANTERIOR</v>
          </cell>
          <cell r="AP459">
            <v>1295082</v>
          </cell>
        </row>
        <row r="460">
          <cell r="AE460" t="str">
            <v>01 - RENOVADA</v>
          </cell>
          <cell r="AP460">
            <v>1578883</v>
          </cell>
        </row>
        <row r="461">
          <cell r="AE461" t="str">
            <v>01 - RENOVADA</v>
          </cell>
          <cell r="AP461">
            <v>1579179</v>
          </cell>
        </row>
        <row r="462">
          <cell r="AE462" t="str">
            <v>08 - VIGENCIA ANTERIOR</v>
          </cell>
          <cell r="AP462">
            <v>1096690</v>
          </cell>
        </row>
        <row r="463">
          <cell r="AE463" t="str">
            <v>08 - VIGENCIA ANTERIOR</v>
          </cell>
          <cell r="AP463">
            <v>1298359</v>
          </cell>
        </row>
        <row r="464">
          <cell r="AE464" t="str">
            <v>05 - ANULADA EN VIGENCIA</v>
          </cell>
          <cell r="AP464">
            <v>1376879</v>
          </cell>
        </row>
        <row r="465">
          <cell r="AE465" t="str">
            <v>01 - RENOVADA</v>
          </cell>
          <cell r="AP465">
            <v>2011674751</v>
          </cell>
        </row>
        <row r="466">
          <cell r="AE466" t="str">
            <v>01 - RENOVADA</v>
          </cell>
          <cell r="AP466">
            <v>2011712648</v>
          </cell>
        </row>
        <row r="467">
          <cell r="AE467" t="str">
            <v>05 - ANULADA EN VIGENCIA</v>
          </cell>
          <cell r="AP467">
            <v>2009882187</v>
          </cell>
        </row>
        <row r="468">
          <cell r="AE468" t="str">
            <v>05 - ANULADA EN VIGENCIA</v>
          </cell>
          <cell r="AP468">
            <v>2004861801</v>
          </cell>
        </row>
        <row r="469">
          <cell r="AE469" t="str">
            <v>05 - ANULADA EN VIGENCIA</v>
          </cell>
          <cell r="AP469">
            <v>997338</v>
          </cell>
        </row>
        <row r="470">
          <cell r="AE470" t="str">
            <v>05 - ANULADA EN VIGENCIA</v>
          </cell>
          <cell r="AP470" t="str">
            <v>1444479-01</v>
          </cell>
        </row>
        <row r="471">
          <cell r="AE471" t="str">
            <v>05 - ANULADA EN VIGENCIA</v>
          </cell>
          <cell r="AP471" t="str">
            <v>1444479-02</v>
          </cell>
        </row>
        <row r="472">
          <cell r="AE472" t="str">
            <v>05 - ANULADA EN VIGENCIA</v>
          </cell>
          <cell r="AP472">
            <v>3011800068886</v>
          </cell>
        </row>
        <row r="473">
          <cell r="AE473" t="str">
            <v>08 - VIGENCIA ANTERIOR</v>
          </cell>
          <cell r="AP473">
            <v>904877</v>
          </cell>
        </row>
        <row r="474">
          <cell r="AE474" t="str">
            <v>08 - VIGENCIA ANTERIOR</v>
          </cell>
          <cell r="AP474">
            <v>1302500</v>
          </cell>
        </row>
        <row r="475">
          <cell r="AE475" t="str">
            <v>03 - PENDIENTE</v>
          </cell>
          <cell r="AP475">
            <v>1469498</v>
          </cell>
        </row>
        <row r="476">
          <cell r="AE476" t="str">
            <v>01 - RENOVADA</v>
          </cell>
          <cell r="AP476">
            <v>2008792044</v>
          </cell>
        </row>
        <row r="477">
          <cell r="AE477" t="str">
            <v>05 - ANULADA EN VIGENCIA</v>
          </cell>
          <cell r="AP477">
            <v>2002208849</v>
          </cell>
        </row>
        <row r="478">
          <cell r="AE478" t="str">
            <v>01 - RENOVADA</v>
          </cell>
          <cell r="AP478">
            <v>2009850323</v>
          </cell>
        </row>
        <row r="479">
          <cell r="AE479" t="str">
            <v>01 - RENOVADA</v>
          </cell>
          <cell r="AP479">
            <v>2009849681</v>
          </cell>
        </row>
        <row r="480">
          <cell r="AE480" t="str">
            <v>01 - RENOVADA</v>
          </cell>
          <cell r="AP480">
            <v>428514</v>
          </cell>
        </row>
        <row r="481">
          <cell r="AE481" t="str">
            <v>04 - NO RENOVADA</v>
          </cell>
          <cell r="AP481">
            <v>1071489</v>
          </cell>
        </row>
        <row r="482">
          <cell r="AE482" t="str">
            <v>04 - NO RENOVADA</v>
          </cell>
          <cell r="AP482">
            <v>1274995</v>
          </cell>
        </row>
        <row r="483">
          <cell r="AE483" t="str">
            <v>05 - ANULADA EN VIGENCIA</v>
          </cell>
          <cell r="AP483">
            <v>2007433457</v>
          </cell>
        </row>
        <row r="484">
          <cell r="AE484" t="str">
            <v>01 - RENOVADA</v>
          </cell>
          <cell r="AP484">
            <v>2008792332</v>
          </cell>
        </row>
        <row r="485">
          <cell r="AE485" t="str">
            <v>05 - ANULADA EN VIGENCIA</v>
          </cell>
          <cell r="AP485">
            <v>2008791944</v>
          </cell>
        </row>
        <row r="486">
          <cell r="AE486" t="str">
            <v>01 - RENOVADA</v>
          </cell>
          <cell r="AP486">
            <v>70233410</v>
          </cell>
        </row>
        <row r="487">
          <cell r="AE487" t="str">
            <v>04 - NO RENOVADA</v>
          </cell>
          <cell r="AP487">
            <v>920300</v>
          </cell>
        </row>
        <row r="488">
          <cell r="AE488" t="str">
            <v>08 - VIGENCIA ANTERIOR</v>
          </cell>
          <cell r="AP488">
            <v>1089182</v>
          </cell>
        </row>
        <row r="489">
          <cell r="AE489" t="str">
            <v>08 - VIGENCIA ANTERIOR</v>
          </cell>
          <cell r="AP489">
            <v>1302354</v>
          </cell>
        </row>
        <row r="490">
          <cell r="AE490" t="str">
            <v>03 - PENDIENTE</v>
          </cell>
          <cell r="AP490">
            <v>1469499</v>
          </cell>
        </row>
        <row r="491">
          <cell r="AE491" t="str">
            <v>08 - VIGENCIA ANTERIOR</v>
          </cell>
          <cell r="AP491">
            <v>1003209</v>
          </cell>
        </row>
        <row r="492">
          <cell r="AE492" t="str">
            <v>04 - NO RENOVADA</v>
          </cell>
          <cell r="AP492">
            <v>1115563</v>
          </cell>
        </row>
        <row r="493">
          <cell r="AE493" t="str">
            <v>05 - ANULADA EN VIGENCIA</v>
          </cell>
          <cell r="AP493">
            <v>2007093451</v>
          </cell>
        </row>
        <row r="494">
          <cell r="AE494" t="str">
            <v>04 - NO RENOVADA</v>
          </cell>
          <cell r="AP494">
            <v>2010352311</v>
          </cell>
        </row>
        <row r="495">
          <cell r="AE495" t="str">
            <v>08 - VIGENCIA ANTERIOR</v>
          </cell>
          <cell r="AP495">
            <v>6724697</v>
          </cell>
        </row>
        <row r="496">
          <cell r="AE496" t="str">
            <v>08 - VIGENCIA ANTERIOR</v>
          </cell>
          <cell r="AP496">
            <v>7773288</v>
          </cell>
        </row>
        <row r="497">
          <cell r="AE497" t="str">
            <v>01 - RENOVADA</v>
          </cell>
          <cell r="AP497">
            <v>70211655</v>
          </cell>
        </row>
        <row r="498">
          <cell r="AE498" t="str">
            <v>01 - RENOVADA</v>
          </cell>
          <cell r="AP498">
            <v>3011259900441</v>
          </cell>
        </row>
        <row r="499">
          <cell r="AE499" t="str">
            <v>05 - ANULADA EN VIGENCIA</v>
          </cell>
          <cell r="AP499">
            <v>1117281</v>
          </cell>
        </row>
        <row r="500">
          <cell r="AE500" t="str">
            <v>01 - RENOVADA</v>
          </cell>
          <cell r="AP500">
            <v>2009403779</v>
          </cell>
        </row>
        <row r="501">
          <cell r="AE501" t="str">
            <v>05 - ANULADA EN VIGENCIA</v>
          </cell>
          <cell r="AP501">
            <v>2009951683</v>
          </cell>
        </row>
        <row r="502">
          <cell r="AE502" t="str">
            <v>05 - ANULADA EN VIGENCIA</v>
          </cell>
          <cell r="AP502">
            <v>42877</v>
          </cell>
        </row>
        <row r="503">
          <cell r="AE503" t="str">
            <v>05 - ANULADA EN VIGENCIA</v>
          </cell>
          <cell r="AP503">
            <v>37228</v>
          </cell>
        </row>
        <row r="504">
          <cell r="AE504" t="str">
            <v>05 - ANULADA EN VIGENCIA</v>
          </cell>
          <cell r="AP504">
            <v>51100</v>
          </cell>
        </row>
        <row r="505">
          <cell r="AE505" t="str">
            <v>05 - ANULADA EN VIGENCIA</v>
          </cell>
          <cell r="AP505">
            <v>1149</v>
          </cell>
        </row>
        <row r="506">
          <cell r="AE506" t="str">
            <v>03 - PENDIENTE</v>
          </cell>
          <cell r="AP506">
            <v>52472</v>
          </cell>
        </row>
        <row r="507">
          <cell r="AE507" t="str">
            <v>03 - PENDIENTE</v>
          </cell>
          <cell r="AP507">
            <v>93580</v>
          </cell>
        </row>
        <row r="508">
          <cell r="AE508" t="str">
            <v>05 - ANULADA EN VIGENCIA</v>
          </cell>
          <cell r="AP508">
            <v>2009501386</v>
          </cell>
        </row>
        <row r="509">
          <cell r="AE509" t="str">
            <v>01 - RENOVADA</v>
          </cell>
          <cell r="AP509">
            <v>795286</v>
          </cell>
        </row>
        <row r="510">
          <cell r="AE510" t="str">
            <v>03 - PENDIENTE</v>
          </cell>
          <cell r="AP510">
            <v>9402945</v>
          </cell>
        </row>
        <row r="511">
          <cell r="AE511" t="str">
            <v>08 - VIGENCIA ANTERIOR</v>
          </cell>
          <cell r="AP511">
            <v>1015706</v>
          </cell>
        </row>
        <row r="512">
          <cell r="AE512" t="str">
            <v>08 - VIGENCIA ANTERIOR</v>
          </cell>
          <cell r="AP512">
            <v>850317</v>
          </cell>
        </row>
        <row r="513">
          <cell r="AE513" t="str">
            <v>01 - RENOVADA</v>
          </cell>
          <cell r="AP513">
            <v>1497055</v>
          </cell>
        </row>
        <row r="514">
          <cell r="AE514" t="str">
            <v>05 - ANULADA EN VIGENCIA</v>
          </cell>
          <cell r="AP514">
            <v>2000449185</v>
          </cell>
        </row>
        <row r="515">
          <cell r="AE515" t="str">
            <v>01 - RENOVADA</v>
          </cell>
          <cell r="AP515">
            <v>2010160050</v>
          </cell>
        </row>
        <row r="516">
          <cell r="AE516" t="str">
            <v>05 - ANULADA EN VIGENCIA</v>
          </cell>
          <cell r="AP516" t="str">
            <v>1444479-07</v>
          </cell>
        </row>
        <row r="517">
          <cell r="AE517" t="str">
            <v>04 - NO RENOVADA</v>
          </cell>
          <cell r="AP517">
            <v>7862064</v>
          </cell>
        </row>
        <row r="518">
          <cell r="AE518" t="str">
            <v>01 - RENOVADA</v>
          </cell>
          <cell r="AP518">
            <v>16798713</v>
          </cell>
        </row>
        <row r="519">
          <cell r="AE519" t="str">
            <v>05 - ANULADA EN VIGENCIA</v>
          </cell>
          <cell r="AP519" t="str">
            <v>1444479-11</v>
          </cell>
        </row>
        <row r="520">
          <cell r="AE520" t="str">
            <v>08 - VIGENCIA ANTERIOR</v>
          </cell>
          <cell r="AP520">
            <v>691282</v>
          </cell>
        </row>
        <row r="521">
          <cell r="AE521" t="str">
            <v>05 - ANULADA EN VIGENCIA</v>
          </cell>
          <cell r="AP521">
            <v>1029941</v>
          </cell>
        </row>
        <row r="522">
          <cell r="AE522" t="str">
            <v>05 - ANULADA EN VIGENCIA</v>
          </cell>
          <cell r="AP522">
            <v>1244009</v>
          </cell>
        </row>
        <row r="523">
          <cell r="AE523" t="str">
            <v>01 - RENOVADA</v>
          </cell>
          <cell r="AP523">
            <v>1520939</v>
          </cell>
        </row>
        <row r="524">
          <cell r="AE524" t="str">
            <v>08 - VIGENCIA ANTERIOR</v>
          </cell>
          <cell r="AP524">
            <v>1045176</v>
          </cell>
        </row>
        <row r="525">
          <cell r="AE525" t="str">
            <v>08 - VIGENCIA ANTERIOR</v>
          </cell>
          <cell r="AP525">
            <v>1045257</v>
          </cell>
        </row>
        <row r="526">
          <cell r="AE526" t="str">
            <v>04 - NO RENOVADA</v>
          </cell>
          <cell r="AP526">
            <v>2001609343</v>
          </cell>
        </row>
        <row r="527">
          <cell r="AE527" t="str">
            <v>04 - NO RENOVADA</v>
          </cell>
          <cell r="AP527">
            <v>2001606742</v>
          </cell>
        </row>
        <row r="528">
          <cell r="AE528" t="str">
            <v>05 - ANULADA EN VIGENCIA</v>
          </cell>
          <cell r="AP528">
            <v>17093912</v>
          </cell>
        </row>
        <row r="529">
          <cell r="AE529" t="str">
            <v>05 - ANULADA EN VIGENCIA</v>
          </cell>
          <cell r="AP529">
            <v>17108749</v>
          </cell>
        </row>
        <row r="530">
          <cell r="AE530" t="str">
            <v>04 - NO RENOVADA</v>
          </cell>
          <cell r="AP530">
            <v>17106433</v>
          </cell>
        </row>
        <row r="531">
          <cell r="AE531" t="str">
            <v>01 - RENOVADA</v>
          </cell>
          <cell r="AP531">
            <v>17506731</v>
          </cell>
        </row>
        <row r="532">
          <cell r="AE532" t="str">
            <v>01 - RENOVADA</v>
          </cell>
          <cell r="AP532">
            <v>17526301</v>
          </cell>
        </row>
        <row r="533">
          <cell r="AE533" t="str">
            <v>01 - RENOVADA</v>
          </cell>
          <cell r="AP533">
            <v>17107176</v>
          </cell>
        </row>
        <row r="534">
          <cell r="AE534" t="str">
            <v>01 - RENOVADA</v>
          </cell>
          <cell r="AP534">
            <v>51101</v>
          </cell>
        </row>
        <row r="535">
          <cell r="AE535" t="str">
            <v>01 - RENOVADA</v>
          </cell>
          <cell r="AP535">
            <v>70243237</v>
          </cell>
        </row>
        <row r="536">
          <cell r="AE536" t="str">
            <v>01 - RENOVADA</v>
          </cell>
          <cell r="AP536">
            <v>70243201</v>
          </cell>
        </row>
        <row r="537">
          <cell r="AE537" t="str">
            <v>01 - RENOVADA</v>
          </cell>
          <cell r="AP537">
            <v>70245144</v>
          </cell>
        </row>
        <row r="538">
          <cell r="AE538" t="str">
            <v>04 - NO RENOVADA</v>
          </cell>
          <cell r="AP538">
            <v>999213</v>
          </cell>
        </row>
        <row r="539">
          <cell r="AE539" t="str">
            <v>01 - RENOVADA</v>
          </cell>
          <cell r="AP539">
            <v>70238537</v>
          </cell>
        </row>
        <row r="540">
          <cell r="AE540" t="str">
            <v>01 - RENOVADA</v>
          </cell>
          <cell r="AP540">
            <v>70244979</v>
          </cell>
        </row>
        <row r="541">
          <cell r="AE541" t="str">
            <v>05 - ANULADA EN VIGENCIA</v>
          </cell>
          <cell r="AP541">
            <v>70210557</v>
          </cell>
        </row>
        <row r="542">
          <cell r="AE542" t="str">
            <v>05 - ANULADA EN VIGENCIA</v>
          </cell>
          <cell r="AP542">
            <v>70196148</v>
          </cell>
        </row>
        <row r="543">
          <cell r="AE543" t="str">
            <v>05 - ANULADA EN VIGENCIA</v>
          </cell>
          <cell r="AP543">
            <v>1409767</v>
          </cell>
        </row>
        <row r="544">
          <cell r="AE544" t="str">
            <v>05 - ANULADA EN VIGENCIA</v>
          </cell>
          <cell r="AP544">
            <v>1040520</v>
          </cell>
        </row>
        <row r="545">
          <cell r="AE545" t="str">
            <v>05 - ANULADA EN VIGENCIA</v>
          </cell>
          <cell r="AP545">
            <v>1243981</v>
          </cell>
        </row>
        <row r="546">
          <cell r="AE546" t="str">
            <v>01 - RENOVADA</v>
          </cell>
          <cell r="AP546">
            <v>2010410518</v>
          </cell>
        </row>
        <row r="547">
          <cell r="AE547" t="str">
            <v>01 - RENOVADA</v>
          </cell>
          <cell r="AP547">
            <v>1554678</v>
          </cell>
        </row>
        <row r="548">
          <cell r="AE548" t="str">
            <v>01 - RENOVADA</v>
          </cell>
          <cell r="AP548">
            <v>2003157074</v>
          </cell>
        </row>
        <row r="549">
          <cell r="AE549" t="str">
            <v>01 - RENOVADA</v>
          </cell>
          <cell r="AP549">
            <v>1574229</v>
          </cell>
        </row>
        <row r="550">
          <cell r="AE550" t="str">
            <v>01 - RENOVADA</v>
          </cell>
          <cell r="AP550">
            <v>532324</v>
          </cell>
        </row>
        <row r="551">
          <cell r="AE551" t="str">
            <v>01 - RENOVADA</v>
          </cell>
          <cell r="AP551">
            <v>532351</v>
          </cell>
        </row>
        <row r="552">
          <cell r="AE552" t="str">
            <v>01 - RENOVADA</v>
          </cell>
          <cell r="AP552">
            <v>1539282</v>
          </cell>
        </row>
        <row r="553">
          <cell r="AE553" t="str">
            <v>01 - RENOVADA</v>
          </cell>
          <cell r="AP553">
            <v>4012000455</v>
          </cell>
        </row>
        <row r="554">
          <cell r="AE554" t="str">
            <v>01 - RENOVADA</v>
          </cell>
          <cell r="AP554">
            <v>2001284952</v>
          </cell>
        </row>
        <row r="555">
          <cell r="AE555" t="str">
            <v>01 - RENOVADA</v>
          </cell>
          <cell r="AP555">
            <v>709789</v>
          </cell>
        </row>
        <row r="556">
          <cell r="AE556" t="str">
            <v>08 - VIGENCIA ANTERIOR</v>
          </cell>
          <cell r="AP556">
            <v>1012647</v>
          </cell>
        </row>
        <row r="557">
          <cell r="AE557" t="str">
            <v>05 - ANULADA EN VIGENCIA</v>
          </cell>
          <cell r="AP557">
            <v>1115504</v>
          </cell>
        </row>
        <row r="558">
          <cell r="AE558" t="str">
            <v>05 - ANULADA EN VIGENCIA</v>
          </cell>
          <cell r="AP558">
            <v>768795</v>
          </cell>
        </row>
        <row r="559">
          <cell r="AE559" t="str">
            <v>05 - ANULADA EN VIGENCIA</v>
          </cell>
          <cell r="AP559">
            <v>2009897969</v>
          </cell>
        </row>
        <row r="560">
          <cell r="AE560" t="str">
            <v>01 - RENOVADA</v>
          </cell>
          <cell r="AP560">
            <v>1505738</v>
          </cell>
        </row>
        <row r="561">
          <cell r="AE561" t="str">
            <v>08 - VIGENCIA ANTERIOR</v>
          </cell>
          <cell r="AP561">
            <v>1029947</v>
          </cell>
        </row>
        <row r="562">
          <cell r="AE562" t="str">
            <v>08 - VIGENCIA ANTERIOR</v>
          </cell>
          <cell r="AP562">
            <v>7009016</v>
          </cell>
        </row>
        <row r="563">
          <cell r="AE563" t="str">
            <v>05 - ANULADA EN VIGENCIA</v>
          </cell>
          <cell r="AP563">
            <v>1243976</v>
          </cell>
        </row>
        <row r="564">
          <cell r="AE564" t="str">
            <v>04 - NO RENOVADA</v>
          </cell>
          <cell r="AP564">
            <v>70175073</v>
          </cell>
        </row>
        <row r="565">
          <cell r="AE565" t="str">
            <v>01 - RENOVADA</v>
          </cell>
          <cell r="AP565">
            <v>38832</v>
          </cell>
        </row>
        <row r="566">
          <cell r="AE566" t="str">
            <v>04 - NO RENOVADA</v>
          </cell>
          <cell r="AP566">
            <v>1014635</v>
          </cell>
        </row>
        <row r="567">
          <cell r="AE567" t="str">
            <v>04 - NO RENOVADA</v>
          </cell>
          <cell r="AP567">
            <v>1117605</v>
          </cell>
        </row>
        <row r="568">
          <cell r="AE568" t="str">
            <v>04 - NO RENOVADA</v>
          </cell>
          <cell r="AP568">
            <v>979382</v>
          </cell>
        </row>
        <row r="569">
          <cell r="AE569" t="str">
            <v>05 - ANULADA EN VIGENCIA</v>
          </cell>
          <cell r="AP569">
            <v>997345</v>
          </cell>
        </row>
        <row r="570">
          <cell r="AE570" t="str">
            <v>05 - ANULADA EN VIGENCIA</v>
          </cell>
          <cell r="AP570">
            <v>2005595019</v>
          </cell>
        </row>
        <row r="571">
          <cell r="AE571" t="str">
            <v>04 - NO RENOVADA</v>
          </cell>
          <cell r="AP571">
            <v>1073709</v>
          </cell>
        </row>
        <row r="572">
          <cell r="AE572" t="str">
            <v>04 - NO RENOVADA</v>
          </cell>
          <cell r="AP572">
            <v>1276390</v>
          </cell>
        </row>
        <row r="573">
          <cell r="AE573" t="str">
            <v>01 - RENOVADA</v>
          </cell>
          <cell r="AP573">
            <v>1547936</v>
          </cell>
        </row>
        <row r="574">
          <cell r="AE574" t="str">
            <v>05 - ANULADA EN VIGENCIA</v>
          </cell>
          <cell r="AP574">
            <v>72773</v>
          </cell>
        </row>
        <row r="575">
          <cell r="AE575" t="str">
            <v>01 - RENOVADA</v>
          </cell>
          <cell r="AP575">
            <v>101045</v>
          </cell>
        </row>
        <row r="576">
          <cell r="AE576" t="str">
            <v>01 - RENOVADA</v>
          </cell>
          <cell r="AP576">
            <v>2011983817</v>
          </cell>
        </row>
        <row r="577">
          <cell r="AE577" t="str">
            <v>01 - RENOVADA</v>
          </cell>
          <cell r="AP577">
            <v>409239</v>
          </cell>
        </row>
        <row r="578">
          <cell r="AE578" t="str">
            <v>03 - PENDIENTE</v>
          </cell>
          <cell r="AP578">
            <v>2002253838</v>
          </cell>
        </row>
        <row r="579">
          <cell r="AE579" t="str">
            <v>05 - ANULADA EN VIGENCIA</v>
          </cell>
          <cell r="AP579">
            <v>4310149</v>
          </cell>
        </row>
        <row r="580">
          <cell r="AE580" t="str">
            <v>01 - RENOVADA</v>
          </cell>
          <cell r="AP580">
            <v>80745</v>
          </cell>
        </row>
        <row r="581">
          <cell r="AE581" t="str">
            <v>05 - ANULADA EN VIGENCIA</v>
          </cell>
          <cell r="AP581">
            <v>1026700</v>
          </cell>
        </row>
        <row r="582">
          <cell r="AE582" t="str">
            <v>05 - ANULADA EN VIGENCIA</v>
          </cell>
          <cell r="AP582">
            <v>1028792</v>
          </cell>
        </row>
        <row r="583">
          <cell r="AE583" t="str">
            <v>04 - NO RENOVADA</v>
          </cell>
          <cell r="AP583">
            <v>1028804</v>
          </cell>
        </row>
        <row r="584">
          <cell r="AE584" t="str">
            <v>04 - NO RENOVADA</v>
          </cell>
          <cell r="AP584">
            <v>1232134</v>
          </cell>
        </row>
        <row r="585">
          <cell r="AE585" t="str">
            <v>05 - ANULADA EN VIGENCIA</v>
          </cell>
          <cell r="AP585">
            <v>1232545</v>
          </cell>
        </row>
        <row r="586">
          <cell r="AE586" t="str">
            <v>05 - ANULADA EN VIGENCIA</v>
          </cell>
          <cell r="AP586">
            <v>1232546</v>
          </cell>
        </row>
        <row r="587">
          <cell r="AE587" t="str">
            <v>01 - RENOVADA</v>
          </cell>
          <cell r="AP587">
            <v>2011667335</v>
          </cell>
        </row>
        <row r="588">
          <cell r="AE588" t="str">
            <v>05 - ANULADA EN VIGENCIA</v>
          </cell>
          <cell r="AP588">
            <v>6752524</v>
          </cell>
        </row>
        <row r="589">
          <cell r="AE589" t="str">
            <v>05 - ANULADA EN VIGENCIA</v>
          </cell>
          <cell r="AP589">
            <v>7782271</v>
          </cell>
        </row>
        <row r="590">
          <cell r="AE590" t="str">
            <v>05 - ANULADA EN VIGENCIA</v>
          </cell>
          <cell r="AP590">
            <v>952674</v>
          </cell>
        </row>
        <row r="591">
          <cell r="AE591" t="str">
            <v>05 - ANULADA EN VIGENCIA</v>
          </cell>
          <cell r="AP591">
            <v>1260307</v>
          </cell>
        </row>
        <row r="592">
          <cell r="AE592" t="str">
            <v>05 - ANULADA EN VIGENCIA</v>
          </cell>
          <cell r="AP592">
            <v>2004741776</v>
          </cell>
        </row>
        <row r="593">
          <cell r="AE593" t="str">
            <v>05 - ANULADA EN VIGENCIA</v>
          </cell>
          <cell r="AP593">
            <v>7144742</v>
          </cell>
        </row>
        <row r="594">
          <cell r="AE594" t="str">
            <v>05 - ANULADA EN VIGENCIA</v>
          </cell>
          <cell r="AP594">
            <v>2007010904</v>
          </cell>
        </row>
        <row r="595">
          <cell r="AE595" t="str">
            <v>05 - ANULADA EN VIGENCIA</v>
          </cell>
          <cell r="AP595">
            <v>7918251</v>
          </cell>
        </row>
        <row r="596">
          <cell r="AE596" t="str">
            <v>05 - ANULADA EN VIGENCIA</v>
          </cell>
          <cell r="AP596">
            <v>7511144</v>
          </cell>
        </row>
        <row r="597">
          <cell r="AE597" t="str">
            <v>05 - ANULADA EN VIGENCIA</v>
          </cell>
          <cell r="AP597">
            <v>8172988</v>
          </cell>
        </row>
        <row r="598">
          <cell r="AE598" t="str">
            <v>05 - ANULADA EN VIGENCIA</v>
          </cell>
          <cell r="AP598">
            <v>4012000348</v>
          </cell>
        </row>
        <row r="599">
          <cell r="AE599" t="str">
            <v>05 - ANULADA EN VIGENCIA</v>
          </cell>
          <cell r="AP599">
            <v>2002185061</v>
          </cell>
        </row>
        <row r="600">
          <cell r="AE600" t="str">
            <v>04 - NO RENOVADA</v>
          </cell>
          <cell r="AP600">
            <v>2003988791</v>
          </cell>
        </row>
        <row r="601">
          <cell r="AE601" t="str">
            <v>01 - RENOVADA</v>
          </cell>
          <cell r="AP601">
            <v>15654034</v>
          </cell>
        </row>
        <row r="602">
          <cell r="AE602" t="str">
            <v>03 - PENDIENTE</v>
          </cell>
          <cell r="AP602">
            <v>2001168821</v>
          </cell>
        </row>
        <row r="603">
          <cell r="AE603" t="str">
            <v>03 - PENDIENTE</v>
          </cell>
          <cell r="AP603">
            <v>70194542</v>
          </cell>
        </row>
        <row r="604">
          <cell r="AE604" t="str">
            <v>03 - PENDIENTE</v>
          </cell>
          <cell r="AP604">
            <v>70205825</v>
          </cell>
        </row>
        <row r="605">
          <cell r="AE605" t="str">
            <v>08 - VIGENCIA ANTERIOR</v>
          </cell>
          <cell r="AP605">
            <v>1110379</v>
          </cell>
        </row>
        <row r="606">
          <cell r="AE606" t="str">
            <v>01 - RENOVADA</v>
          </cell>
          <cell r="AP606">
            <v>50994</v>
          </cell>
        </row>
        <row r="607">
          <cell r="AE607" t="str">
            <v>05 - ANULADA EN VIGENCIA</v>
          </cell>
          <cell r="AP607">
            <v>5445928</v>
          </cell>
        </row>
        <row r="608">
          <cell r="AE608" t="str">
            <v>05 - ANULADA EN VIGENCIA</v>
          </cell>
          <cell r="AP608">
            <v>2867427</v>
          </cell>
        </row>
        <row r="609">
          <cell r="AE609" t="str">
            <v>05 - ANULADA EN VIGENCIA</v>
          </cell>
          <cell r="AP609">
            <v>1027340</v>
          </cell>
        </row>
        <row r="610">
          <cell r="AE610" t="str">
            <v>05 - ANULADA EN VIGENCIA</v>
          </cell>
          <cell r="AP610">
            <v>2009751726</v>
          </cell>
        </row>
        <row r="611">
          <cell r="AE611" t="str">
            <v>05 - ANULADA EN VIGENCIA</v>
          </cell>
          <cell r="AP611">
            <v>54268</v>
          </cell>
        </row>
        <row r="612">
          <cell r="AE612" t="str">
            <v>05 - ANULADA EN VIGENCIA</v>
          </cell>
          <cell r="AP612">
            <v>1109875</v>
          </cell>
        </row>
        <row r="613">
          <cell r="AE613" t="str">
            <v>05 - ANULADA EN VIGENCIA</v>
          </cell>
          <cell r="AP613">
            <v>4012000947</v>
          </cell>
        </row>
        <row r="614">
          <cell r="AE614" t="str">
            <v>05 - ANULADA EN VIGENCIA</v>
          </cell>
          <cell r="AP614">
            <v>506274</v>
          </cell>
        </row>
        <row r="615">
          <cell r="AE615" t="str">
            <v>05 - ANULADA EN VIGENCIA</v>
          </cell>
          <cell r="AP615">
            <v>558381</v>
          </cell>
        </row>
        <row r="616">
          <cell r="AE616" t="str">
            <v>05 - ANULADA EN VIGENCIA</v>
          </cell>
          <cell r="AP616">
            <v>567607</v>
          </cell>
        </row>
        <row r="617">
          <cell r="AE617" t="str">
            <v>05 - ANULADA EN VIGENCIA</v>
          </cell>
          <cell r="AP617">
            <v>1248847</v>
          </cell>
        </row>
        <row r="618">
          <cell r="AE618" t="str">
            <v>05 - ANULADA EN VIGENCIA</v>
          </cell>
          <cell r="AP618">
            <v>946169</v>
          </cell>
        </row>
        <row r="619">
          <cell r="AE619" t="str">
            <v>05 - ANULADA EN VIGENCIA</v>
          </cell>
          <cell r="AP619">
            <v>2009751675</v>
          </cell>
        </row>
        <row r="620">
          <cell r="AE620" t="str">
            <v>01 - RENOVADA</v>
          </cell>
          <cell r="AP620">
            <v>76561</v>
          </cell>
        </row>
        <row r="621">
          <cell r="AE621" t="str">
            <v>01 - RENOVADA</v>
          </cell>
          <cell r="AP621">
            <v>102050</v>
          </cell>
        </row>
        <row r="622">
          <cell r="AE622" t="str">
            <v>05 - ANULADA EN VIGENCIA</v>
          </cell>
          <cell r="AP622">
            <v>50434</v>
          </cell>
        </row>
        <row r="623">
          <cell r="AE623" t="str">
            <v>01 - RENOVADA</v>
          </cell>
          <cell r="AP623">
            <v>508501</v>
          </cell>
        </row>
        <row r="624">
          <cell r="AE624" t="str">
            <v>01 - RENOVADA</v>
          </cell>
          <cell r="AP624">
            <v>16990231</v>
          </cell>
        </row>
        <row r="625">
          <cell r="AE625" t="str">
            <v>01 - RENOVADA</v>
          </cell>
          <cell r="AP625">
            <v>1202510100599</v>
          </cell>
        </row>
        <row r="626">
          <cell r="AE626" t="str">
            <v>05 - ANULADA EN VIGENCIA</v>
          </cell>
          <cell r="AP626">
            <v>1086944</v>
          </cell>
        </row>
        <row r="627">
          <cell r="AE627" t="str">
            <v>01 - RENOVADA</v>
          </cell>
          <cell r="AP627">
            <v>14495000</v>
          </cell>
        </row>
        <row r="628">
          <cell r="AE628" t="str">
            <v>01 - RENOVADA</v>
          </cell>
          <cell r="AP628">
            <v>14493860</v>
          </cell>
        </row>
        <row r="629">
          <cell r="AE629" t="str">
            <v>01 - RENOVADA</v>
          </cell>
          <cell r="AP629">
            <v>2008496462</v>
          </cell>
        </row>
        <row r="630">
          <cell r="AE630" t="str">
            <v>05 - ANULADA EN VIGENCIA</v>
          </cell>
          <cell r="AP630">
            <v>2005322845</v>
          </cell>
        </row>
        <row r="631">
          <cell r="AE631" t="str">
            <v>01 - RENOVADA</v>
          </cell>
          <cell r="AP631">
            <v>9490154</v>
          </cell>
        </row>
        <row r="632">
          <cell r="AE632" t="str">
            <v>05 - ANULADA EN VIGENCIA</v>
          </cell>
          <cell r="AP632">
            <v>2005999774</v>
          </cell>
        </row>
        <row r="633">
          <cell r="AE633" t="str">
            <v>05 - ANULADA EN VIGENCIA</v>
          </cell>
          <cell r="AP633">
            <v>2007312350</v>
          </cell>
        </row>
        <row r="634">
          <cell r="AE634" t="str">
            <v>05 - ANULADA EN VIGENCIA</v>
          </cell>
          <cell r="AP634">
            <v>2004799148</v>
          </cell>
        </row>
        <row r="635">
          <cell r="AE635" t="str">
            <v>05 - ANULADA EN VIGENCIA</v>
          </cell>
          <cell r="AP635">
            <v>2006473738</v>
          </cell>
        </row>
        <row r="636">
          <cell r="AE636" t="str">
            <v>01 - RENOVADA</v>
          </cell>
          <cell r="AP636">
            <v>2009004593</v>
          </cell>
        </row>
        <row r="637">
          <cell r="AE637" t="str">
            <v>01 - RENOVADA</v>
          </cell>
          <cell r="AP637">
            <v>16726154</v>
          </cell>
        </row>
        <row r="638">
          <cell r="AE638" t="str">
            <v>01 - RENOVADA</v>
          </cell>
          <cell r="AP638">
            <v>75408</v>
          </cell>
        </row>
        <row r="639">
          <cell r="AE639" t="str">
            <v>08 - VIGENCIA ANTERIOR</v>
          </cell>
          <cell r="AP639">
            <v>7794528</v>
          </cell>
        </row>
        <row r="640">
          <cell r="AE640" t="str">
            <v>01 - RENOVADA</v>
          </cell>
          <cell r="AP640">
            <v>1490632</v>
          </cell>
        </row>
        <row r="641">
          <cell r="AE641" t="str">
            <v>01 - RENOVADA</v>
          </cell>
          <cell r="AP641">
            <v>9552413</v>
          </cell>
        </row>
        <row r="642">
          <cell r="AE642" t="str">
            <v>04 - NO RENOVADA</v>
          </cell>
          <cell r="AP642">
            <v>9006267</v>
          </cell>
        </row>
        <row r="643">
          <cell r="AE643" t="str">
            <v>05 - ANULADA EN VIGENCIA</v>
          </cell>
          <cell r="AP643">
            <v>4302</v>
          </cell>
        </row>
        <row r="644">
          <cell r="AE644" t="str">
            <v>01 - RENOVADA</v>
          </cell>
          <cell r="AP644">
            <v>70218151</v>
          </cell>
        </row>
        <row r="645">
          <cell r="AE645" t="str">
            <v>08 - VIGENCIA ANTERIOR</v>
          </cell>
          <cell r="AP645">
            <v>1303985</v>
          </cell>
        </row>
        <row r="646">
          <cell r="AE646" t="str">
            <v>03 - PENDIENTE</v>
          </cell>
          <cell r="AP646">
            <v>1469484</v>
          </cell>
        </row>
        <row r="647">
          <cell r="AE647" t="str">
            <v>04 - NO RENOVADA</v>
          </cell>
          <cell r="AP647">
            <v>6754533</v>
          </cell>
        </row>
        <row r="648">
          <cell r="AE648" t="str">
            <v>04 - NO RENOVADA</v>
          </cell>
          <cell r="AP648">
            <v>8154097</v>
          </cell>
        </row>
        <row r="649">
          <cell r="AE649" t="str">
            <v>08 - VIGENCIA ANTERIOR</v>
          </cell>
          <cell r="AP649">
            <v>1303971</v>
          </cell>
        </row>
        <row r="650">
          <cell r="AE650" t="str">
            <v>03 - PENDIENTE</v>
          </cell>
          <cell r="AP650">
            <v>1469482</v>
          </cell>
        </row>
        <row r="651">
          <cell r="AE651" t="str">
            <v>05 - ANULADA EN VIGENCIA</v>
          </cell>
          <cell r="AP651">
            <v>75257</v>
          </cell>
        </row>
        <row r="652">
          <cell r="AE652" t="str">
            <v>05 - ANULADA EN VIGENCIA</v>
          </cell>
          <cell r="AP652">
            <v>75689</v>
          </cell>
        </row>
        <row r="653">
          <cell r="AE653" t="str">
            <v>01 - RENOVADA</v>
          </cell>
          <cell r="AP653" t="str">
            <v>E0028499</v>
          </cell>
        </row>
        <row r="654">
          <cell r="AE654" t="str">
            <v>01 - RENOVADA</v>
          </cell>
          <cell r="AP654">
            <v>47982</v>
          </cell>
        </row>
        <row r="655">
          <cell r="AE655" t="str">
            <v>01 - RENOVADA</v>
          </cell>
          <cell r="AP655">
            <v>19485873</v>
          </cell>
        </row>
        <row r="656">
          <cell r="AE656" t="str">
            <v>01 - RENOVADA</v>
          </cell>
          <cell r="AP656">
            <v>16690888</v>
          </cell>
        </row>
        <row r="657">
          <cell r="AE657" t="str">
            <v>01 - RENOVADA</v>
          </cell>
          <cell r="AP657">
            <v>1201710700046</v>
          </cell>
        </row>
        <row r="658">
          <cell r="AE658" t="str">
            <v>05 - ANULADA EN VIGENCIA</v>
          </cell>
          <cell r="AP658">
            <v>2009751435</v>
          </cell>
        </row>
        <row r="659">
          <cell r="AE659" t="str">
            <v>04 - NO RENOVADA</v>
          </cell>
          <cell r="AP659">
            <v>2003143192</v>
          </cell>
        </row>
        <row r="660">
          <cell r="AE660" t="str">
            <v>05 - ANULADA EN VIGENCIA</v>
          </cell>
          <cell r="AP660">
            <v>2010809616</v>
          </cell>
        </row>
        <row r="661">
          <cell r="AE661" t="str">
            <v>01 - RENOVADA</v>
          </cell>
          <cell r="AP661">
            <v>70229473</v>
          </cell>
        </row>
        <row r="662">
          <cell r="AE662" t="str">
            <v>08 - VIGENCIA ANTERIOR</v>
          </cell>
          <cell r="AP662">
            <v>70117048</v>
          </cell>
        </row>
        <row r="663">
          <cell r="AE663" t="str">
            <v>03 - PENDIENTE</v>
          </cell>
          <cell r="AP663">
            <v>70200802</v>
          </cell>
        </row>
        <row r="664">
          <cell r="AE664" t="str">
            <v>04 - NO RENOVADA</v>
          </cell>
          <cell r="AP664">
            <v>16543462</v>
          </cell>
        </row>
        <row r="665">
          <cell r="AE665" t="str">
            <v>05 - ANULADA EN VIGENCIA</v>
          </cell>
          <cell r="AP665">
            <v>1147254</v>
          </cell>
        </row>
        <row r="666">
          <cell r="AE666" t="str">
            <v>03 - PENDIENTE</v>
          </cell>
          <cell r="AP666">
            <v>407171</v>
          </cell>
        </row>
        <row r="667">
          <cell r="AE667" t="str">
            <v>05 - ANULADA EN VIGENCIA</v>
          </cell>
          <cell r="AP667">
            <v>75702</v>
          </cell>
        </row>
        <row r="668">
          <cell r="AE668" t="str">
            <v>04 - NO RENOVADA</v>
          </cell>
          <cell r="AP668">
            <v>6774258</v>
          </cell>
        </row>
        <row r="669">
          <cell r="AE669" t="str">
            <v>04 - NO RENOVADA</v>
          </cell>
          <cell r="AP669">
            <v>7796096</v>
          </cell>
        </row>
        <row r="670">
          <cell r="AE670" t="str">
            <v>08 - VIGENCIA ANTERIOR</v>
          </cell>
          <cell r="AP670">
            <v>957558</v>
          </cell>
        </row>
        <row r="671">
          <cell r="AE671" t="str">
            <v>08 - VIGENCIA ANTERIOR</v>
          </cell>
          <cell r="AP671">
            <v>1059992</v>
          </cell>
        </row>
        <row r="672">
          <cell r="AE672" t="str">
            <v>08 - VIGENCIA ANTERIOR</v>
          </cell>
          <cell r="AP672">
            <v>1269453</v>
          </cell>
        </row>
        <row r="673">
          <cell r="AE673" t="str">
            <v>05 - ANULADA EN VIGENCIA</v>
          </cell>
          <cell r="AP673">
            <v>1439716</v>
          </cell>
        </row>
        <row r="674">
          <cell r="AE674" t="str">
            <v>05 - ANULADA EN VIGENCIA</v>
          </cell>
          <cell r="AP674">
            <v>379907</v>
          </cell>
        </row>
        <row r="675">
          <cell r="AE675" t="str">
            <v>04 - NO RENOVADA</v>
          </cell>
          <cell r="AP675">
            <v>2009843435</v>
          </cell>
        </row>
        <row r="676">
          <cell r="AE676" t="str">
            <v>04 - NO RENOVADA</v>
          </cell>
          <cell r="AP676">
            <v>2009849566</v>
          </cell>
        </row>
        <row r="677">
          <cell r="AE677" t="str">
            <v>05 - ANULADA EN VIGENCIA</v>
          </cell>
          <cell r="AP677">
            <v>2009849398</v>
          </cell>
        </row>
        <row r="678">
          <cell r="AE678" t="str">
            <v>05 - ANULADA EN VIGENCIA</v>
          </cell>
          <cell r="AP678">
            <v>2008161144</v>
          </cell>
        </row>
        <row r="679">
          <cell r="AE679" t="str">
            <v>01 - RENOVADA</v>
          </cell>
          <cell r="AP679">
            <v>2005546172</v>
          </cell>
        </row>
        <row r="680">
          <cell r="AE680" t="str">
            <v>01 - RENOVADA</v>
          </cell>
          <cell r="AP680">
            <v>2005546182</v>
          </cell>
        </row>
        <row r="681">
          <cell r="AE681" t="str">
            <v>01 - RENOVADA</v>
          </cell>
          <cell r="AP681">
            <v>70216028</v>
          </cell>
        </row>
        <row r="682">
          <cell r="AE682" t="str">
            <v>01 - RENOVADA</v>
          </cell>
          <cell r="AP682">
            <v>70210603</v>
          </cell>
        </row>
        <row r="683">
          <cell r="AE683" t="str">
            <v>01 - RENOVADA</v>
          </cell>
          <cell r="AP683">
            <v>1512809</v>
          </cell>
        </row>
        <row r="684">
          <cell r="AE684" t="str">
            <v>05 - ANULADA EN VIGENCIA</v>
          </cell>
          <cell r="AP684">
            <v>2005920259</v>
          </cell>
        </row>
        <row r="685">
          <cell r="AE685" t="str">
            <v>01 - RENOVADA</v>
          </cell>
          <cell r="AP685">
            <v>1565837</v>
          </cell>
        </row>
        <row r="686">
          <cell r="AE686" t="str">
            <v>05 - ANULADA EN VIGENCIA</v>
          </cell>
          <cell r="AP686">
            <v>1470506</v>
          </cell>
        </row>
        <row r="687">
          <cell r="AE687" t="str">
            <v>05 - ANULADA EN VIGENCIA</v>
          </cell>
          <cell r="AP687">
            <v>70144995</v>
          </cell>
        </row>
        <row r="688">
          <cell r="AE688" t="str">
            <v>01 - RENOVADA</v>
          </cell>
          <cell r="AP688">
            <v>1574042</v>
          </cell>
        </row>
        <row r="689">
          <cell r="AE689" t="str">
            <v>01 - RENOVADA</v>
          </cell>
          <cell r="AP689">
            <v>512687</v>
          </cell>
        </row>
        <row r="690">
          <cell r="AE690" t="str">
            <v>05 - ANULADA EN VIGENCIA</v>
          </cell>
          <cell r="AP690">
            <v>17436526</v>
          </cell>
        </row>
        <row r="691">
          <cell r="AE691" t="str">
            <v>05 - ANULADA EN VIGENCIA</v>
          </cell>
          <cell r="AP691">
            <v>16679910</v>
          </cell>
        </row>
        <row r="692">
          <cell r="AE692" t="str">
            <v>05 - ANULADA EN VIGENCIA</v>
          </cell>
          <cell r="AP692">
            <v>72500</v>
          </cell>
        </row>
        <row r="693">
          <cell r="AE693" t="str">
            <v>01 - RENOVADA</v>
          </cell>
          <cell r="AP693">
            <v>84117</v>
          </cell>
        </row>
        <row r="694">
          <cell r="AE694" t="str">
            <v>01 - RENOVADA</v>
          </cell>
          <cell r="AP694">
            <v>1201210100111</v>
          </cell>
        </row>
        <row r="695">
          <cell r="AE695" t="str">
            <v>05 - ANULADA EN VIGENCIA</v>
          </cell>
          <cell r="AP695">
            <v>70111371</v>
          </cell>
        </row>
        <row r="696">
          <cell r="AE696" t="str">
            <v>03 - PENDIENTE</v>
          </cell>
          <cell r="AP696">
            <v>16472702</v>
          </cell>
        </row>
        <row r="697">
          <cell r="AE697" t="str">
            <v>05 - ANULADA EN VIGENCIA</v>
          </cell>
          <cell r="AP697">
            <v>2008798197</v>
          </cell>
        </row>
        <row r="698">
          <cell r="AE698" t="str">
            <v>05 - ANULADA EN VIGENCIA</v>
          </cell>
          <cell r="AP698">
            <v>39057</v>
          </cell>
        </row>
        <row r="699">
          <cell r="AE699" t="str">
            <v>01 - RENOVADA</v>
          </cell>
          <cell r="AP699">
            <v>91686</v>
          </cell>
        </row>
        <row r="700">
          <cell r="AE700" t="str">
            <v>05 - ANULADA EN VIGENCIA</v>
          </cell>
          <cell r="AP700">
            <v>839208</v>
          </cell>
        </row>
        <row r="701">
          <cell r="AE701" t="str">
            <v>01 - RENOVADA</v>
          </cell>
          <cell r="AP701">
            <v>1511273</v>
          </cell>
        </row>
        <row r="702">
          <cell r="AE702" t="str">
            <v>03 - PENDIENTE</v>
          </cell>
          <cell r="AP702">
            <v>7140465</v>
          </cell>
        </row>
        <row r="703">
          <cell r="AE703" t="str">
            <v>05 - ANULADA EN VIGENCIA</v>
          </cell>
          <cell r="AP703">
            <v>2006759449</v>
          </cell>
        </row>
        <row r="704">
          <cell r="AE704" t="str">
            <v>05 - ANULADA EN VIGENCIA</v>
          </cell>
          <cell r="AP704">
            <v>70140023</v>
          </cell>
        </row>
        <row r="705">
          <cell r="AE705" t="str">
            <v>05 - ANULADA EN VIGENCIA</v>
          </cell>
          <cell r="AP705">
            <v>2695580</v>
          </cell>
        </row>
        <row r="706">
          <cell r="AE706" t="str">
            <v>03 - PENDIENTE</v>
          </cell>
          <cell r="AP706">
            <v>15314882</v>
          </cell>
        </row>
        <row r="707">
          <cell r="AE707" t="str">
            <v>03 - PENDIENTE</v>
          </cell>
          <cell r="AP707">
            <v>70193724</v>
          </cell>
        </row>
        <row r="708">
          <cell r="AE708" t="str">
            <v>03 - PENDIENTE</v>
          </cell>
          <cell r="AP708">
            <v>70193717</v>
          </cell>
        </row>
        <row r="709">
          <cell r="AE709" t="str">
            <v>01 - RENOVADA</v>
          </cell>
          <cell r="AP709">
            <v>2008501257</v>
          </cell>
        </row>
        <row r="710">
          <cell r="AE710" t="str">
            <v>05 - ANULADA EN VIGENCIA</v>
          </cell>
          <cell r="AP710">
            <v>1097006</v>
          </cell>
        </row>
        <row r="711">
          <cell r="AE711" t="str">
            <v>05 - ANULADA EN VIGENCIA</v>
          </cell>
          <cell r="AP711">
            <v>1298371</v>
          </cell>
        </row>
        <row r="712">
          <cell r="AE712" t="str">
            <v>04 - NO RENOVADA</v>
          </cell>
          <cell r="AP712">
            <v>6492884</v>
          </cell>
        </row>
        <row r="713">
          <cell r="AE713" t="str">
            <v>01 - RENOVADA</v>
          </cell>
          <cell r="AP713">
            <v>10430436</v>
          </cell>
        </row>
        <row r="714">
          <cell r="AE714" t="str">
            <v>01 - RENOVADA</v>
          </cell>
          <cell r="AP714">
            <v>5304627</v>
          </cell>
        </row>
        <row r="715">
          <cell r="AE715" t="str">
            <v>01 - RENOVADA</v>
          </cell>
          <cell r="AP715">
            <v>13898028</v>
          </cell>
        </row>
        <row r="716">
          <cell r="AE716" t="str">
            <v>01 - RENOVADA</v>
          </cell>
          <cell r="AP716">
            <v>1495791</v>
          </cell>
        </row>
        <row r="717">
          <cell r="AE717" t="str">
            <v>01 - RENOVADA</v>
          </cell>
          <cell r="AP717">
            <v>2513392</v>
          </cell>
        </row>
        <row r="718">
          <cell r="AE718" t="str">
            <v>01 - RENOVADA</v>
          </cell>
          <cell r="AP718">
            <v>2010484562</v>
          </cell>
        </row>
        <row r="719">
          <cell r="AE719" t="str">
            <v>01 - RENOVADA</v>
          </cell>
          <cell r="AP719">
            <v>70243945</v>
          </cell>
        </row>
        <row r="720">
          <cell r="AE720" t="str">
            <v>01 - RENOVADA</v>
          </cell>
          <cell r="AP720">
            <v>2010734047</v>
          </cell>
        </row>
        <row r="721">
          <cell r="AE721" t="str">
            <v>05 - ANULADA EN VIGENCIA</v>
          </cell>
          <cell r="AP721">
            <v>70102932</v>
          </cell>
        </row>
        <row r="722">
          <cell r="AE722" t="str">
            <v>05 - ANULADA EN VIGENCIA</v>
          </cell>
          <cell r="AP722">
            <v>70135673</v>
          </cell>
        </row>
        <row r="723">
          <cell r="AE723" t="str">
            <v>01 - RENOVADA</v>
          </cell>
          <cell r="AP723">
            <v>528419</v>
          </cell>
        </row>
        <row r="724">
          <cell r="AE724" t="str">
            <v>03 - PENDIENTE</v>
          </cell>
          <cell r="AP724">
            <v>1477843</v>
          </cell>
        </row>
        <row r="725">
          <cell r="AE725" t="str">
            <v>08 - VIGENCIA ANTERIOR</v>
          </cell>
          <cell r="AP725">
            <v>1296035</v>
          </cell>
        </row>
        <row r="726">
          <cell r="AE726" t="str">
            <v>05 - ANULADA EN VIGENCIA</v>
          </cell>
          <cell r="AP726">
            <v>1368610</v>
          </cell>
        </row>
        <row r="727">
          <cell r="AE727" t="str">
            <v>08 - VIGENCIA ANTERIOR</v>
          </cell>
          <cell r="AP727">
            <v>517261</v>
          </cell>
        </row>
        <row r="728">
          <cell r="AE728" t="str">
            <v>08 - VIGENCIA ANTERIOR</v>
          </cell>
          <cell r="AP728">
            <v>1306777</v>
          </cell>
        </row>
        <row r="729">
          <cell r="AE729" t="str">
            <v>03 - PENDIENTE</v>
          </cell>
          <cell r="AP729">
            <v>1388712</v>
          </cell>
        </row>
        <row r="730">
          <cell r="AE730" t="str">
            <v>05 - ANULADA EN VIGENCIA</v>
          </cell>
          <cell r="AP730">
            <v>43681</v>
          </cell>
        </row>
        <row r="731">
          <cell r="AE731" t="str">
            <v>01 - RENOVADA</v>
          </cell>
          <cell r="AP731">
            <v>2008496483</v>
          </cell>
        </row>
        <row r="732">
          <cell r="AE732" t="str">
            <v>01 - RENOVADA</v>
          </cell>
          <cell r="AP732">
            <v>2008501231</v>
          </cell>
        </row>
        <row r="733">
          <cell r="AE733" t="str">
            <v>01 - RENOVADA</v>
          </cell>
          <cell r="AP733">
            <v>98895</v>
          </cell>
        </row>
        <row r="734">
          <cell r="AE734" t="str">
            <v>01 - RENOVADA</v>
          </cell>
          <cell r="AP734">
            <v>98960</v>
          </cell>
        </row>
        <row r="735">
          <cell r="AE735" t="str">
            <v>01 - RENOVADA</v>
          </cell>
          <cell r="AP735">
            <v>2003871962</v>
          </cell>
        </row>
        <row r="736">
          <cell r="AE736" t="str">
            <v>01 - RENOVADA</v>
          </cell>
          <cell r="AP736">
            <v>2003851229</v>
          </cell>
        </row>
        <row r="737">
          <cell r="AE737" t="str">
            <v>05 - ANULADA EN VIGENCIA</v>
          </cell>
          <cell r="AP737">
            <v>3653375</v>
          </cell>
        </row>
        <row r="738">
          <cell r="AE738" t="str">
            <v>05 - ANULADA EN VIGENCIA</v>
          </cell>
          <cell r="AP738">
            <v>2009000188</v>
          </cell>
        </row>
        <row r="739">
          <cell r="AE739" t="str">
            <v>03 - PENDIENTE</v>
          </cell>
          <cell r="AP739">
            <v>2009572093</v>
          </cell>
        </row>
        <row r="740">
          <cell r="AE740" t="str">
            <v>05 - ANULADA EN VIGENCIA</v>
          </cell>
          <cell r="AP740">
            <v>73036</v>
          </cell>
        </row>
        <row r="741">
          <cell r="AE741" t="str">
            <v>05 - ANULADA EN VIGENCIA</v>
          </cell>
          <cell r="AP741">
            <v>36689</v>
          </cell>
        </row>
        <row r="742">
          <cell r="AE742" t="str">
            <v>05 - ANULADA EN VIGENCIA</v>
          </cell>
          <cell r="AP742">
            <v>93314</v>
          </cell>
        </row>
        <row r="743">
          <cell r="AE743" t="str">
            <v>04 - NO RENOVADA</v>
          </cell>
          <cell r="AP743">
            <v>1245545</v>
          </cell>
        </row>
        <row r="744">
          <cell r="AE744" t="str">
            <v>05 - ANULADA EN VIGENCIA</v>
          </cell>
          <cell r="AP744">
            <v>3242476</v>
          </cell>
        </row>
        <row r="745">
          <cell r="AE745" t="str">
            <v>05 - ANULADA EN VIGENCIA</v>
          </cell>
          <cell r="AP745">
            <v>1032096</v>
          </cell>
        </row>
        <row r="746">
          <cell r="AE746" t="str">
            <v>04 - NO RENOVADA</v>
          </cell>
          <cell r="AP746">
            <v>1331754</v>
          </cell>
        </row>
        <row r="747">
          <cell r="AE747" t="str">
            <v>01 - RENOVADA</v>
          </cell>
          <cell r="AP747">
            <v>2010774139</v>
          </cell>
        </row>
        <row r="748">
          <cell r="AE748" t="str">
            <v>05 - ANULADA EN VIGENCIA</v>
          </cell>
          <cell r="AP748">
            <v>16595730</v>
          </cell>
        </row>
        <row r="749">
          <cell r="AE749" t="str">
            <v>05 - ANULADA EN VIGENCIA</v>
          </cell>
          <cell r="AP749">
            <v>2009566024</v>
          </cell>
        </row>
        <row r="750">
          <cell r="AE750" t="str">
            <v>01 - RENOVADA</v>
          </cell>
          <cell r="AP750">
            <v>70243370</v>
          </cell>
        </row>
        <row r="751">
          <cell r="AE751" t="str">
            <v>01 - RENOVADA</v>
          </cell>
          <cell r="AP751">
            <v>2010774124</v>
          </cell>
        </row>
        <row r="752">
          <cell r="AE752" t="str">
            <v>01 - RENOVADA</v>
          </cell>
          <cell r="AP752">
            <v>2010774397</v>
          </cell>
        </row>
        <row r="753">
          <cell r="AE753" t="str">
            <v>05 - ANULADA EN VIGENCIA</v>
          </cell>
          <cell r="AP753">
            <v>51488</v>
          </cell>
        </row>
        <row r="754">
          <cell r="AE754" t="str">
            <v>05 - ANULADA EN VIGENCIA</v>
          </cell>
          <cell r="AP754">
            <v>43968</v>
          </cell>
        </row>
        <row r="755">
          <cell r="AE755" t="str">
            <v>05 - ANULADA EN VIGENCIA</v>
          </cell>
          <cell r="AP755">
            <v>2009850333</v>
          </cell>
        </row>
        <row r="756">
          <cell r="AE756" t="str">
            <v>01 - RENOVADA</v>
          </cell>
          <cell r="AP756">
            <v>2011932128</v>
          </cell>
        </row>
        <row r="757">
          <cell r="AE757" t="str">
            <v>04 - NO RENOVADA</v>
          </cell>
          <cell r="AP757">
            <v>5765763</v>
          </cell>
        </row>
        <row r="758">
          <cell r="AE758" t="str">
            <v>04 - NO RENOVADA</v>
          </cell>
          <cell r="AP758">
            <v>417370</v>
          </cell>
        </row>
        <row r="759">
          <cell r="AE759" t="str">
            <v>01 - RENOVADA</v>
          </cell>
          <cell r="AP759">
            <v>1506672</v>
          </cell>
        </row>
        <row r="760">
          <cell r="AE760" t="str">
            <v>01 - RENOVADA</v>
          </cell>
          <cell r="AP760">
            <v>2008798220</v>
          </cell>
        </row>
        <row r="761">
          <cell r="AE761" t="str">
            <v>05 - ANULADA EN VIGENCIA</v>
          </cell>
          <cell r="AP761">
            <v>2967121</v>
          </cell>
        </row>
        <row r="762">
          <cell r="AE762" t="str">
            <v>01 - RENOVADA</v>
          </cell>
          <cell r="AP762">
            <v>627514</v>
          </cell>
        </row>
        <row r="763">
          <cell r="AE763" t="str">
            <v>04 - NO RENOVADA</v>
          </cell>
          <cell r="AP763">
            <v>2006179555</v>
          </cell>
        </row>
        <row r="764">
          <cell r="AE764" t="str">
            <v>05 - ANULADA EN VIGENCIA</v>
          </cell>
          <cell r="AP764">
            <v>642778</v>
          </cell>
        </row>
        <row r="765">
          <cell r="AE765" t="str">
            <v>04 - NO RENOVADA</v>
          </cell>
          <cell r="AP765">
            <v>71758</v>
          </cell>
        </row>
        <row r="766">
          <cell r="AE766" t="str">
            <v>05 - ANULADA EN VIGENCIA</v>
          </cell>
          <cell r="AP766">
            <v>518242</v>
          </cell>
        </row>
        <row r="767">
          <cell r="AE767" t="str">
            <v>04 - NO RENOVADA</v>
          </cell>
          <cell r="AP767">
            <v>199820</v>
          </cell>
        </row>
        <row r="768">
          <cell r="AE768" t="str">
            <v>05 - ANULADA EN VIGENCIA</v>
          </cell>
          <cell r="AP768">
            <v>795492</v>
          </cell>
        </row>
        <row r="769">
          <cell r="AE769" t="str">
            <v>05 - ANULADA EN VIGENCIA</v>
          </cell>
          <cell r="AP769">
            <v>64647</v>
          </cell>
        </row>
        <row r="770">
          <cell r="AE770" t="str">
            <v>05 - ANULADA EN VIGENCIA</v>
          </cell>
          <cell r="AP770">
            <v>87051</v>
          </cell>
        </row>
        <row r="771">
          <cell r="AE771" t="str">
            <v>04 - NO RENOVADA</v>
          </cell>
          <cell r="AP771">
            <v>1114392</v>
          </cell>
        </row>
        <row r="772">
          <cell r="AE772" t="str">
            <v>04 - NO RENOVADA</v>
          </cell>
          <cell r="AP772">
            <v>1114401</v>
          </cell>
        </row>
        <row r="773">
          <cell r="AE773" t="str">
            <v>04 - NO RENOVADA</v>
          </cell>
          <cell r="AP773">
            <v>1114407</v>
          </cell>
        </row>
        <row r="774">
          <cell r="AE774" t="str">
            <v>05 - ANULADA EN VIGENCIA</v>
          </cell>
          <cell r="AP774" t="str">
            <v>1444479-08</v>
          </cell>
        </row>
        <row r="775">
          <cell r="AE775" t="str">
            <v>04 - NO RENOVADA</v>
          </cell>
          <cell r="AP775">
            <v>16876439</v>
          </cell>
        </row>
        <row r="776">
          <cell r="AE776" t="str">
            <v>05 - ANULADA EN VIGENCIA</v>
          </cell>
          <cell r="AP776">
            <v>2650203</v>
          </cell>
        </row>
        <row r="777">
          <cell r="AE777" t="str">
            <v>04 - NO RENOVADA</v>
          </cell>
          <cell r="AP777">
            <v>3022300057524</v>
          </cell>
        </row>
        <row r="778">
          <cell r="AE778" t="str">
            <v>08 - VIGENCIA ANTERIOR</v>
          </cell>
          <cell r="AP778">
            <v>2004670262</v>
          </cell>
        </row>
        <row r="779">
          <cell r="AE779" t="str">
            <v>05 - ANULADA EN VIGENCIA</v>
          </cell>
          <cell r="AP779">
            <v>46426</v>
          </cell>
        </row>
        <row r="780">
          <cell r="AE780" t="str">
            <v>01 - RENOVADA</v>
          </cell>
          <cell r="AP780">
            <v>52017</v>
          </cell>
        </row>
        <row r="781">
          <cell r="AE781" t="str">
            <v>01 - RENOVADA</v>
          </cell>
          <cell r="AP781">
            <v>2009848067</v>
          </cell>
        </row>
        <row r="782">
          <cell r="AE782" t="str">
            <v>01 - RENOVADA</v>
          </cell>
          <cell r="AP782">
            <v>15584</v>
          </cell>
        </row>
        <row r="783">
          <cell r="AE783" t="str">
            <v>05 - ANULADA EN VIGENCIA</v>
          </cell>
          <cell r="AP783">
            <v>2002980413</v>
          </cell>
        </row>
        <row r="784">
          <cell r="AE784" t="str">
            <v>01 - RENOVADA</v>
          </cell>
          <cell r="AP784">
            <v>2010266472</v>
          </cell>
        </row>
        <row r="785">
          <cell r="AE785" t="str">
            <v>05 - ANULADA EN VIGENCIA</v>
          </cell>
          <cell r="AP785">
            <v>829553</v>
          </cell>
        </row>
        <row r="786">
          <cell r="AE786" t="str">
            <v>01 - RENOVADA</v>
          </cell>
          <cell r="AP786">
            <v>1516119</v>
          </cell>
        </row>
        <row r="787">
          <cell r="AE787" t="str">
            <v>05 - ANULADA EN VIGENCIA</v>
          </cell>
          <cell r="AP787">
            <v>1495702</v>
          </cell>
        </row>
        <row r="788">
          <cell r="AE788" t="str">
            <v>03 - PENDIENTE</v>
          </cell>
          <cell r="AP788">
            <v>70197346</v>
          </cell>
        </row>
        <row r="789">
          <cell r="AE789" t="str">
            <v>01 - RENOVADA</v>
          </cell>
          <cell r="AP789">
            <v>70247734</v>
          </cell>
        </row>
        <row r="790">
          <cell r="AE790" t="str">
            <v>01 - RENOVADA</v>
          </cell>
          <cell r="AP790">
            <v>2001541777</v>
          </cell>
        </row>
        <row r="791">
          <cell r="AE791" t="str">
            <v>01 - RENOVADA</v>
          </cell>
          <cell r="AP791">
            <v>1412551</v>
          </cell>
        </row>
        <row r="792">
          <cell r="AE792" t="str">
            <v>01 - RENOVADA</v>
          </cell>
          <cell r="AP792">
            <v>1238250</v>
          </cell>
        </row>
        <row r="793">
          <cell r="AE793" t="str">
            <v>04 - NO RENOVADA</v>
          </cell>
          <cell r="AP793">
            <v>1042798</v>
          </cell>
        </row>
        <row r="794">
          <cell r="AE794" t="str">
            <v>05 - ANULADA EN VIGENCIA</v>
          </cell>
          <cell r="AP794">
            <v>1234119</v>
          </cell>
        </row>
        <row r="795">
          <cell r="AE795" t="str">
            <v>05 - ANULADA EN VIGENCIA</v>
          </cell>
          <cell r="AP795">
            <v>4011001247</v>
          </cell>
        </row>
        <row r="796">
          <cell r="AE796" t="str">
            <v>05 - ANULADA EN VIGENCIA</v>
          </cell>
          <cell r="AP796">
            <v>476054</v>
          </cell>
        </row>
        <row r="797">
          <cell r="AE797" t="str">
            <v>01 - RENOVADA</v>
          </cell>
          <cell r="AP797">
            <v>505122</v>
          </cell>
        </row>
        <row r="798">
          <cell r="AE798" t="str">
            <v>01 - RENOVADA</v>
          </cell>
          <cell r="AP798">
            <v>1502697</v>
          </cell>
        </row>
        <row r="799">
          <cell r="AE799" t="str">
            <v>04 - NO RENOVADA</v>
          </cell>
          <cell r="AP799">
            <v>1059973</v>
          </cell>
        </row>
        <row r="800">
          <cell r="AE800" t="str">
            <v>04 - NO RENOVADA</v>
          </cell>
          <cell r="AP800">
            <v>1276391</v>
          </cell>
        </row>
        <row r="801">
          <cell r="AE801" t="str">
            <v>01 - RENOVADA</v>
          </cell>
          <cell r="AP801">
            <v>1547949</v>
          </cell>
        </row>
        <row r="802">
          <cell r="AE802" t="str">
            <v>01 - RENOVADA</v>
          </cell>
          <cell r="AP802">
            <v>4018000104</v>
          </cell>
        </row>
        <row r="803">
          <cell r="AE803" t="str">
            <v>05 - ANULADA EN VIGENCIA</v>
          </cell>
          <cell r="AP803">
            <v>1022646</v>
          </cell>
        </row>
        <row r="804">
          <cell r="AE804" t="str">
            <v>05 - ANULADA EN VIGENCIA</v>
          </cell>
          <cell r="AP804">
            <v>1232133</v>
          </cell>
        </row>
        <row r="805">
          <cell r="AE805" t="str">
            <v>04 - NO RENOVADA</v>
          </cell>
          <cell r="AP805">
            <v>2004799714</v>
          </cell>
        </row>
        <row r="806">
          <cell r="AE806" t="str">
            <v>01 - RENOVADA</v>
          </cell>
          <cell r="AP806">
            <v>512499</v>
          </cell>
        </row>
        <row r="807">
          <cell r="AE807" t="str">
            <v>01 - RENOVADA</v>
          </cell>
          <cell r="AP807">
            <v>2780</v>
          </cell>
        </row>
        <row r="808">
          <cell r="AE808" t="str">
            <v>04 - NO RENOVADA</v>
          </cell>
          <cell r="AP808">
            <v>378703</v>
          </cell>
        </row>
        <row r="809">
          <cell r="AE809" t="str">
            <v>01 - RENOVADA</v>
          </cell>
          <cell r="AP809">
            <v>2007998175</v>
          </cell>
        </row>
        <row r="810">
          <cell r="AE810" t="str">
            <v>03 - PENDIENTE</v>
          </cell>
          <cell r="AP810">
            <v>510982444405</v>
          </cell>
        </row>
        <row r="811">
          <cell r="AE811" t="str">
            <v>03 - PENDIENTE</v>
          </cell>
          <cell r="AP811">
            <v>21417378</v>
          </cell>
        </row>
        <row r="812">
          <cell r="AE812" t="str">
            <v>05 - ANULADA EN VIGENCIA</v>
          </cell>
          <cell r="AP812">
            <v>84059</v>
          </cell>
        </row>
        <row r="813">
          <cell r="AE813" t="str">
            <v>01 - RENOVADA</v>
          </cell>
          <cell r="AP813">
            <v>44349</v>
          </cell>
        </row>
        <row r="814">
          <cell r="AE814" t="str">
            <v>05 - ANULADA EN VIGENCIA</v>
          </cell>
          <cell r="AP814">
            <v>16823105</v>
          </cell>
        </row>
        <row r="815">
          <cell r="AE815" t="str">
            <v>05 - ANULADA EN VIGENCIA</v>
          </cell>
          <cell r="AP815">
            <v>14569709</v>
          </cell>
        </row>
        <row r="816">
          <cell r="AE816" t="str">
            <v>05 - ANULADA EN VIGENCIA</v>
          </cell>
          <cell r="AP816">
            <v>1259923</v>
          </cell>
        </row>
        <row r="817">
          <cell r="AE817" t="str">
            <v>05 - ANULADA EN VIGENCIA</v>
          </cell>
          <cell r="AP817">
            <v>1295099</v>
          </cell>
        </row>
        <row r="818">
          <cell r="AE818" t="str">
            <v>05 - ANULADA EN VIGENCIA</v>
          </cell>
          <cell r="AP818">
            <v>2009495500</v>
          </cell>
        </row>
        <row r="819">
          <cell r="AE819" t="str">
            <v>05 - ANULADA EN VIGENCIA</v>
          </cell>
          <cell r="AP819">
            <v>48605</v>
          </cell>
        </row>
        <row r="820">
          <cell r="AE820" t="str">
            <v>05 - ANULADA EN VIGENCIA</v>
          </cell>
          <cell r="AP820">
            <v>43353</v>
          </cell>
        </row>
        <row r="821">
          <cell r="AE821" t="str">
            <v>01 - RENOVADA</v>
          </cell>
          <cell r="AP821">
            <v>510314</v>
          </cell>
        </row>
        <row r="822">
          <cell r="AE822" t="str">
            <v>04 - NO RENOVADA</v>
          </cell>
          <cell r="AP822">
            <v>1082163</v>
          </cell>
        </row>
        <row r="823">
          <cell r="AE823" t="str">
            <v>08 - VIGENCIA ANTERIOR</v>
          </cell>
          <cell r="AP823">
            <v>2007695329</v>
          </cell>
        </row>
        <row r="824">
          <cell r="AE824" t="str">
            <v>01 - RENOVADA</v>
          </cell>
          <cell r="AP824">
            <v>2009005041</v>
          </cell>
        </row>
        <row r="825">
          <cell r="AE825" t="str">
            <v>05 - ANULADA EN VIGENCIA</v>
          </cell>
          <cell r="AP825">
            <v>39689</v>
          </cell>
        </row>
        <row r="826">
          <cell r="AE826" t="str">
            <v>05 - ANULADA EN VIGENCIA</v>
          </cell>
          <cell r="AP826">
            <v>69460</v>
          </cell>
        </row>
        <row r="827">
          <cell r="AE827" t="str">
            <v>05 - ANULADA EN VIGENCIA</v>
          </cell>
          <cell r="AP827">
            <v>5396</v>
          </cell>
        </row>
        <row r="828">
          <cell r="AE828" t="str">
            <v>05 - ANULADA EN VIGENCIA</v>
          </cell>
          <cell r="AP828">
            <v>2009017356</v>
          </cell>
        </row>
        <row r="829">
          <cell r="AE829" t="str">
            <v>01 - RENOVADA</v>
          </cell>
          <cell r="AP829">
            <v>2009850268</v>
          </cell>
        </row>
        <row r="830">
          <cell r="AE830" t="str">
            <v>01 - RENOVADA</v>
          </cell>
          <cell r="AP830">
            <v>2009850297</v>
          </cell>
        </row>
        <row r="831">
          <cell r="AE831" t="str">
            <v>01 - RENOVADA</v>
          </cell>
          <cell r="AP831">
            <v>2011508592</v>
          </cell>
        </row>
        <row r="832">
          <cell r="AE832" t="str">
            <v>04 - NO RENOVADA</v>
          </cell>
          <cell r="AP832">
            <v>2000247332</v>
          </cell>
        </row>
        <row r="833">
          <cell r="AE833" t="str">
            <v>04 - NO RENOVADA</v>
          </cell>
          <cell r="AP833">
            <v>70108900</v>
          </cell>
        </row>
        <row r="834">
          <cell r="AE834" t="str">
            <v>04 - NO RENOVADA</v>
          </cell>
          <cell r="AP834">
            <v>70115418</v>
          </cell>
        </row>
        <row r="835">
          <cell r="AE835" t="str">
            <v>05 - ANULADA EN VIGENCIA</v>
          </cell>
          <cell r="AP835">
            <v>3011800068869</v>
          </cell>
        </row>
        <row r="836">
          <cell r="AE836" t="str">
            <v>08 - VIGENCIA ANTERIOR</v>
          </cell>
          <cell r="AP836">
            <v>1320305</v>
          </cell>
        </row>
        <row r="837">
          <cell r="AE837" t="str">
            <v>08 - VIGENCIA ANTERIOR</v>
          </cell>
          <cell r="AP837">
            <v>1320305</v>
          </cell>
        </row>
        <row r="838">
          <cell r="AE838" t="str">
            <v>01 - RENOVADA</v>
          </cell>
          <cell r="AP838">
            <v>1491867</v>
          </cell>
        </row>
        <row r="839">
          <cell r="AE839" t="str">
            <v>05 - ANULADA EN VIGENCIA</v>
          </cell>
          <cell r="AP839">
            <v>1019552</v>
          </cell>
        </row>
        <row r="840">
          <cell r="AE840" t="str">
            <v>05 - ANULADA EN VIGENCIA</v>
          </cell>
          <cell r="AP840">
            <v>41208</v>
          </cell>
        </row>
        <row r="841">
          <cell r="AE841" t="str">
            <v>08 - VIGENCIA ANTERIOR</v>
          </cell>
          <cell r="AP841">
            <v>1029950</v>
          </cell>
        </row>
        <row r="842">
          <cell r="AE842" t="str">
            <v>08 - VIGENCIA ANTERIOR</v>
          </cell>
          <cell r="AP842">
            <v>1243991</v>
          </cell>
        </row>
        <row r="843">
          <cell r="AE843" t="str">
            <v>01 - RENOVADA</v>
          </cell>
          <cell r="AP843">
            <v>1517655</v>
          </cell>
        </row>
        <row r="844">
          <cell r="AE844" t="str">
            <v>01 - RENOVADA</v>
          </cell>
          <cell r="AP844">
            <v>3341892</v>
          </cell>
        </row>
        <row r="845">
          <cell r="AE845" t="str">
            <v>01 - RENOVADA</v>
          </cell>
          <cell r="AP845">
            <v>1465423</v>
          </cell>
        </row>
        <row r="846">
          <cell r="AE846" t="str">
            <v>04 - NO RENOVADA</v>
          </cell>
          <cell r="AP846">
            <v>9386773</v>
          </cell>
        </row>
        <row r="847">
          <cell r="AE847" t="str">
            <v>02 - EN PROCESO</v>
          </cell>
          <cell r="AP847">
            <v>506059</v>
          </cell>
        </row>
        <row r="848">
          <cell r="AE848" t="str">
            <v>03 - PENDIENTE</v>
          </cell>
          <cell r="AP848">
            <v>531206</v>
          </cell>
        </row>
        <row r="849">
          <cell r="AE849" t="str">
            <v>03 - PENDIENTE</v>
          </cell>
          <cell r="AP849">
            <v>819256</v>
          </cell>
        </row>
        <row r="850">
          <cell r="AE850" t="str">
            <v>01 - RENOVADA</v>
          </cell>
          <cell r="AP850">
            <v>5109779564</v>
          </cell>
        </row>
        <row r="851">
          <cell r="AE851" t="str">
            <v>05 - ANULADA EN VIGENCIA</v>
          </cell>
          <cell r="AP851">
            <v>70151482</v>
          </cell>
        </row>
        <row r="852">
          <cell r="AE852" t="str">
            <v>01 - RENOVADA</v>
          </cell>
          <cell r="AP852">
            <v>70007055</v>
          </cell>
        </row>
        <row r="853">
          <cell r="AE853" t="str">
            <v>01 - RENOVADA</v>
          </cell>
          <cell r="AP853">
            <v>70247716</v>
          </cell>
        </row>
        <row r="854">
          <cell r="AE854" t="str">
            <v>03 - PENDIENTE</v>
          </cell>
          <cell r="AP854">
            <v>70205268</v>
          </cell>
        </row>
        <row r="855">
          <cell r="AE855" t="str">
            <v>01 - RENOVADA</v>
          </cell>
          <cell r="AP855">
            <v>2008784952</v>
          </cell>
        </row>
        <row r="856">
          <cell r="AE856" t="str">
            <v>04 - NO RENOVADA</v>
          </cell>
          <cell r="AP856">
            <v>52676</v>
          </cell>
        </row>
        <row r="857">
          <cell r="AE857" t="str">
            <v>08 - VIGENCIA ANTERIOR</v>
          </cell>
          <cell r="AP857">
            <v>2004799783</v>
          </cell>
        </row>
        <row r="858">
          <cell r="AE858" t="str">
            <v>05 - ANULADA EN VIGENCIA</v>
          </cell>
          <cell r="AP858">
            <v>2009017472</v>
          </cell>
        </row>
        <row r="859">
          <cell r="AE859" t="str">
            <v>04 - NO RENOVADA</v>
          </cell>
          <cell r="AP859">
            <v>2006419137</v>
          </cell>
        </row>
        <row r="860">
          <cell r="AE860" t="str">
            <v>04 - NO RENOVADA</v>
          </cell>
          <cell r="AP860">
            <v>8235652</v>
          </cell>
        </row>
        <row r="861">
          <cell r="AE861" t="str">
            <v>01 - RENOVADA</v>
          </cell>
          <cell r="AP861">
            <v>70210636</v>
          </cell>
        </row>
        <row r="862">
          <cell r="AE862" t="str">
            <v>05 - ANULADA EN VIGENCIA</v>
          </cell>
          <cell r="AP862">
            <v>70129858</v>
          </cell>
        </row>
        <row r="863">
          <cell r="AE863" t="str">
            <v>05 - ANULADA EN VIGENCIA</v>
          </cell>
          <cell r="AP863">
            <v>91151</v>
          </cell>
        </row>
        <row r="864">
          <cell r="AE864" t="str">
            <v>01 - RENOVADA</v>
          </cell>
          <cell r="AP864">
            <v>17019498</v>
          </cell>
        </row>
        <row r="865">
          <cell r="AE865" t="str">
            <v>05 - ANULADA EN VIGENCIA</v>
          </cell>
          <cell r="AP865">
            <v>70144858</v>
          </cell>
        </row>
        <row r="866">
          <cell r="AE866" t="str">
            <v>03 - PENDIENTE</v>
          </cell>
          <cell r="AP866">
            <v>2006487865</v>
          </cell>
        </row>
        <row r="867">
          <cell r="AE867" t="str">
            <v>03 - PENDIENTE</v>
          </cell>
          <cell r="AP867">
            <v>2006488382</v>
          </cell>
        </row>
        <row r="868">
          <cell r="AE868" t="str">
            <v>03 - PENDIENTE</v>
          </cell>
          <cell r="AP868">
            <v>70203067</v>
          </cell>
        </row>
        <row r="869">
          <cell r="AE869" t="str">
            <v>01 - RENOVADA</v>
          </cell>
          <cell r="AP869">
            <v>1573575</v>
          </cell>
        </row>
        <row r="870">
          <cell r="AE870" t="str">
            <v>01 - RENOVADA</v>
          </cell>
          <cell r="AP870">
            <v>5184</v>
          </cell>
        </row>
        <row r="871">
          <cell r="AE871" t="str">
            <v>01 - RENOVADA</v>
          </cell>
          <cell r="AP871">
            <v>1422652</v>
          </cell>
        </row>
        <row r="872">
          <cell r="AE872" t="str">
            <v>05 - ANULADA EN VIGENCIA</v>
          </cell>
          <cell r="AP872">
            <v>2008797827</v>
          </cell>
        </row>
        <row r="873">
          <cell r="AE873" t="str">
            <v>08 - VIGENCIA ANTERIOR</v>
          </cell>
          <cell r="AP873">
            <v>847986</v>
          </cell>
        </row>
        <row r="874">
          <cell r="AE874" t="str">
            <v>01 - RENOVADA</v>
          </cell>
          <cell r="AP874">
            <v>1408347</v>
          </cell>
        </row>
        <row r="875">
          <cell r="AE875" t="str">
            <v>05 - ANULADA EN VIGENCIA</v>
          </cell>
          <cell r="AP875">
            <v>1073738</v>
          </cell>
        </row>
        <row r="876">
          <cell r="AE876" t="str">
            <v>05 - ANULADA EN VIGENCIA</v>
          </cell>
          <cell r="AP876">
            <v>1276395</v>
          </cell>
        </row>
        <row r="877">
          <cell r="AE877" t="str">
            <v>01 - RENOVADA</v>
          </cell>
          <cell r="AP877">
            <v>73745</v>
          </cell>
        </row>
        <row r="878">
          <cell r="AE878" t="str">
            <v>05 - ANULADA EN VIGENCIA</v>
          </cell>
          <cell r="AP878">
            <v>1118141</v>
          </cell>
        </row>
        <row r="879">
          <cell r="AE879" t="str">
            <v>05 - ANULADA EN VIGENCIA</v>
          </cell>
          <cell r="AP879">
            <v>1243185</v>
          </cell>
        </row>
        <row r="880">
          <cell r="AE880" t="str">
            <v>05 - ANULADA EN VIGENCIA</v>
          </cell>
          <cell r="AP880">
            <v>15071120</v>
          </cell>
        </row>
        <row r="881">
          <cell r="AE881" t="str">
            <v>03 - PENDIENTE</v>
          </cell>
          <cell r="AP881">
            <v>1482188</v>
          </cell>
        </row>
        <row r="882">
          <cell r="AE882" t="str">
            <v>01 - RENOVADA</v>
          </cell>
          <cell r="AP882">
            <v>2004416081</v>
          </cell>
        </row>
        <row r="883">
          <cell r="AE883" t="str">
            <v>05 - ANULADA EN VIGENCIA</v>
          </cell>
          <cell r="AP883">
            <v>996749</v>
          </cell>
        </row>
        <row r="884">
          <cell r="AE884" t="str">
            <v>05 - ANULADA EN VIGENCIA</v>
          </cell>
          <cell r="AP884">
            <v>1736363</v>
          </cell>
        </row>
        <row r="885">
          <cell r="AE885" t="str">
            <v>01 - RENOVADA</v>
          </cell>
          <cell r="AP885">
            <v>16880617</v>
          </cell>
        </row>
        <row r="886">
          <cell r="AE886" t="str">
            <v>01 - RENOVADA</v>
          </cell>
          <cell r="AP886">
            <v>16880620</v>
          </cell>
        </row>
        <row r="887">
          <cell r="AE887" t="str">
            <v>01 - RENOVADA</v>
          </cell>
          <cell r="AP887">
            <v>2009823687</v>
          </cell>
        </row>
        <row r="888">
          <cell r="AE888" t="str">
            <v>01 - RENOVADA</v>
          </cell>
          <cell r="AP888">
            <v>2011359328</v>
          </cell>
        </row>
        <row r="889">
          <cell r="AE889" t="str">
            <v>01 - RENOVADA</v>
          </cell>
          <cell r="AP889">
            <v>2008785255</v>
          </cell>
        </row>
        <row r="890">
          <cell r="AE890" t="str">
            <v>05 - ANULADA EN VIGENCIA</v>
          </cell>
          <cell r="AP890">
            <v>70210638</v>
          </cell>
        </row>
        <row r="891">
          <cell r="AE891" t="str">
            <v>05 - ANULADA EN VIGENCIA</v>
          </cell>
          <cell r="AP891">
            <v>1061095</v>
          </cell>
        </row>
        <row r="892">
          <cell r="AE892" t="str">
            <v>05 - ANULADA EN VIGENCIA</v>
          </cell>
          <cell r="AP892">
            <v>1260270</v>
          </cell>
        </row>
        <row r="893">
          <cell r="AE893" t="str">
            <v>04 - NO RENOVADA</v>
          </cell>
          <cell r="AP893">
            <v>500034</v>
          </cell>
        </row>
        <row r="894">
          <cell r="AE894" t="str">
            <v>01 - RENOVADA</v>
          </cell>
          <cell r="AP894">
            <v>15121</v>
          </cell>
        </row>
        <row r="895">
          <cell r="AE895" t="str">
            <v>05 - ANULADA EN VIGENCIA</v>
          </cell>
          <cell r="AP895">
            <v>2002172246</v>
          </cell>
        </row>
        <row r="896">
          <cell r="AE896" t="str">
            <v>08 - VIGENCIA ANTERIOR</v>
          </cell>
          <cell r="AP896">
            <v>1300739</v>
          </cell>
        </row>
        <row r="897">
          <cell r="AE897" t="str">
            <v>05 - ANULADA EN VIGENCIA</v>
          </cell>
          <cell r="AP897">
            <v>1462619</v>
          </cell>
        </row>
        <row r="898">
          <cell r="AE898" t="str">
            <v>01 - RENOVADA</v>
          </cell>
          <cell r="AP898">
            <v>2009850233</v>
          </cell>
        </row>
        <row r="899">
          <cell r="AE899" t="str">
            <v>05 - ANULADA EN VIGENCIA</v>
          </cell>
          <cell r="AP899">
            <v>2004381702</v>
          </cell>
        </row>
        <row r="900">
          <cell r="AE900" t="str">
            <v>08 - VIGENCIA ANTERIOR</v>
          </cell>
          <cell r="AP900">
            <v>2004381594</v>
          </cell>
        </row>
        <row r="901">
          <cell r="AE901" t="str">
            <v>05 - ANULADA EN VIGENCIA</v>
          </cell>
          <cell r="AP901">
            <v>2009403993</v>
          </cell>
        </row>
        <row r="902">
          <cell r="AE902" t="str">
            <v>05 - ANULADA EN VIGENCIA</v>
          </cell>
          <cell r="AP902">
            <v>2009404218</v>
          </cell>
        </row>
        <row r="903">
          <cell r="AE903" t="str">
            <v>05 - ANULADA EN VIGENCIA</v>
          </cell>
          <cell r="AP903">
            <v>2011112677</v>
          </cell>
        </row>
        <row r="904">
          <cell r="AE904" t="str">
            <v>01 - RENOVADA</v>
          </cell>
          <cell r="AP904">
            <v>2011172314</v>
          </cell>
        </row>
        <row r="905">
          <cell r="AE905" t="str">
            <v>03 - PENDIENTE</v>
          </cell>
          <cell r="AP905">
            <v>975066</v>
          </cell>
        </row>
        <row r="906">
          <cell r="AE906" t="str">
            <v>01 - RENOVADA</v>
          </cell>
          <cell r="AP906">
            <v>1491646</v>
          </cell>
        </row>
        <row r="907">
          <cell r="AE907" t="str">
            <v>01 - RENOVADA</v>
          </cell>
          <cell r="AP907">
            <v>4012000431</v>
          </cell>
        </row>
        <row r="908">
          <cell r="AE908" t="str">
            <v>01 - RENOVADA</v>
          </cell>
          <cell r="AP908">
            <v>14489284</v>
          </cell>
        </row>
        <row r="909">
          <cell r="AE909" t="str">
            <v>04 - NO RENOVADA</v>
          </cell>
          <cell r="AP909">
            <v>1023050</v>
          </cell>
        </row>
        <row r="910">
          <cell r="AE910" t="str">
            <v>04 - NO RENOVADA</v>
          </cell>
          <cell r="AP910">
            <v>1235536</v>
          </cell>
        </row>
        <row r="911">
          <cell r="AE911" t="str">
            <v>05 - ANULADA EN VIGENCIA</v>
          </cell>
          <cell r="AP911">
            <v>2009566831</v>
          </cell>
        </row>
        <row r="912">
          <cell r="AE912" t="str">
            <v>08 - VIGENCIA ANTERIOR</v>
          </cell>
          <cell r="AP912">
            <v>2004690053</v>
          </cell>
        </row>
        <row r="913">
          <cell r="AE913" t="str">
            <v>01 - RENOVADA</v>
          </cell>
          <cell r="AP913">
            <v>2008782704</v>
          </cell>
        </row>
        <row r="914">
          <cell r="AE914" t="str">
            <v>08 - VIGENCIA ANTERIOR</v>
          </cell>
          <cell r="AP914">
            <v>2004947153</v>
          </cell>
        </row>
        <row r="915">
          <cell r="AE915" t="str">
            <v>01 - RENOVADA</v>
          </cell>
          <cell r="AP915">
            <v>2009005158</v>
          </cell>
        </row>
        <row r="916">
          <cell r="AE916" t="str">
            <v>04 - NO RENOVADA</v>
          </cell>
          <cell r="AP916">
            <v>12221870</v>
          </cell>
        </row>
        <row r="917">
          <cell r="AE917" t="str">
            <v>05 - ANULADA EN VIGENCIA</v>
          </cell>
          <cell r="AP917">
            <v>2004432627</v>
          </cell>
        </row>
        <row r="918">
          <cell r="AE918" t="str">
            <v>01 - RENOVADA</v>
          </cell>
          <cell r="AP918">
            <v>2009915085</v>
          </cell>
        </row>
        <row r="919">
          <cell r="AE919" t="str">
            <v>08 - VIGENCIA ANTERIOR</v>
          </cell>
          <cell r="AP919">
            <v>2007516870</v>
          </cell>
        </row>
        <row r="920">
          <cell r="AE920" t="str">
            <v>01 - RENOVADA</v>
          </cell>
          <cell r="AP920">
            <v>2008798236</v>
          </cell>
        </row>
        <row r="921">
          <cell r="AE921" t="str">
            <v>01 - RENOVADA</v>
          </cell>
          <cell r="AP921">
            <v>61443</v>
          </cell>
        </row>
        <row r="922">
          <cell r="AE922" t="str">
            <v>01 - RENOVADA</v>
          </cell>
          <cell r="AP922">
            <v>61795</v>
          </cell>
        </row>
        <row r="923">
          <cell r="AE923" t="str">
            <v>05 - ANULADA EN VIGENCIA</v>
          </cell>
          <cell r="AP923">
            <v>2004430647</v>
          </cell>
        </row>
        <row r="924">
          <cell r="AE924" t="str">
            <v>05 - ANULADA EN VIGENCIA</v>
          </cell>
          <cell r="AP924">
            <v>11340</v>
          </cell>
        </row>
        <row r="925">
          <cell r="AE925" t="str">
            <v>01 - RENOVADA</v>
          </cell>
          <cell r="AP925">
            <v>80298</v>
          </cell>
        </row>
        <row r="926">
          <cell r="AE926" t="str">
            <v>01 - RENOVADA</v>
          </cell>
          <cell r="AP926">
            <v>2010903415</v>
          </cell>
        </row>
        <row r="927">
          <cell r="AE927" t="str">
            <v>05 - ANULADA EN VIGENCIA</v>
          </cell>
          <cell r="AP927">
            <v>75232</v>
          </cell>
        </row>
        <row r="928">
          <cell r="AE928" t="str">
            <v>01 - RENOVADA</v>
          </cell>
          <cell r="AP928">
            <v>41525</v>
          </cell>
        </row>
        <row r="929">
          <cell r="AE929" t="str">
            <v>01 - RENOVADA</v>
          </cell>
          <cell r="AP929">
            <v>61423</v>
          </cell>
        </row>
        <row r="930">
          <cell r="AE930" t="str">
            <v>05 - ANULADA EN VIGENCIA</v>
          </cell>
          <cell r="AP930">
            <v>75162</v>
          </cell>
        </row>
        <row r="931">
          <cell r="AE931" t="str">
            <v>01 - RENOVADA</v>
          </cell>
          <cell r="AP931">
            <v>2011952535</v>
          </cell>
        </row>
        <row r="932">
          <cell r="AE932" t="str">
            <v>01 - RENOVADA</v>
          </cell>
          <cell r="AP932">
            <v>2010767179</v>
          </cell>
        </row>
        <row r="933">
          <cell r="AE933" t="str">
            <v>01 - RENOVADA</v>
          </cell>
          <cell r="AP933">
            <v>70229458</v>
          </cell>
        </row>
        <row r="934">
          <cell r="AE934" t="str">
            <v>08 - VIGENCIA ANTERIOR</v>
          </cell>
          <cell r="AP934">
            <v>1298367</v>
          </cell>
        </row>
        <row r="935">
          <cell r="AE935" t="str">
            <v>03 - PENDIENTE</v>
          </cell>
          <cell r="AP935">
            <v>1469569</v>
          </cell>
        </row>
        <row r="936">
          <cell r="AE936" t="str">
            <v>01 - RENOVADA</v>
          </cell>
          <cell r="AP936">
            <v>51350</v>
          </cell>
        </row>
        <row r="937">
          <cell r="AE937" t="str">
            <v>01 - RENOVADA</v>
          </cell>
          <cell r="AP937">
            <v>59171</v>
          </cell>
        </row>
        <row r="938">
          <cell r="AE938" t="str">
            <v>05 - ANULADA EN VIGENCIA</v>
          </cell>
          <cell r="AP938">
            <v>76084</v>
          </cell>
        </row>
        <row r="939">
          <cell r="AE939" t="str">
            <v>05 - ANULADA EN VIGENCIA</v>
          </cell>
          <cell r="AP939">
            <v>1080001</v>
          </cell>
        </row>
        <row r="940">
          <cell r="AE940" t="str">
            <v>05 - ANULADA EN VIGENCIA</v>
          </cell>
          <cell r="AP940">
            <v>133717855</v>
          </cell>
        </row>
        <row r="941">
          <cell r="AE941" t="str">
            <v>08 - VIGENCIA ANTERIOR</v>
          </cell>
          <cell r="AP941">
            <v>1304190</v>
          </cell>
        </row>
        <row r="942">
          <cell r="AE942" t="str">
            <v>03 - PENDIENTE</v>
          </cell>
          <cell r="AP942">
            <v>1475824</v>
          </cell>
        </row>
        <row r="943">
          <cell r="AE943" t="str">
            <v>05 - ANULADA EN VIGENCIA</v>
          </cell>
          <cell r="AP943">
            <v>2008792117</v>
          </cell>
        </row>
        <row r="944">
          <cell r="AE944" t="str">
            <v>05 - ANULADA EN VIGENCIA</v>
          </cell>
          <cell r="AP944">
            <v>19169374</v>
          </cell>
        </row>
        <row r="945">
          <cell r="AE945" t="str">
            <v>08 - VIGENCIA ANTERIOR</v>
          </cell>
          <cell r="AP945">
            <v>1034804</v>
          </cell>
        </row>
        <row r="946">
          <cell r="AE946" t="str">
            <v>08 - VIGENCIA ANTERIOR</v>
          </cell>
          <cell r="AP946">
            <v>1251511</v>
          </cell>
        </row>
        <row r="947">
          <cell r="AE947" t="str">
            <v>01 - RENOVADA</v>
          </cell>
          <cell r="AP947">
            <v>1429217</v>
          </cell>
        </row>
        <row r="948">
          <cell r="AE948" t="str">
            <v>05 - ANULADA EN VIGENCIA</v>
          </cell>
          <cell r="AP948">
            <v>2008642819</v>
          </cell>
        </row>
        <row r="949">
          <cell r="AE949" t="str">
            <v>01 - RENOVADA</v>
          </cell>
          <cell r="AP949">
            <v>126840024</v>
          </cell>
        </row>
        <row r="950">
          <cell r="AE950" t="str">
            <v>01 - RENOVADA</v>
          </cell>
          <cell r="AP950">
            <v>20110530</v>
          </cell>
        </row>
        <row r="951">
          <cell r="AE951" t="str">
            <v>01 - RENOVADA</v>
          </cell>
          <cell r="AP951">
            <v>2007909884</v>
          </cell>
        </row>
        <row r="952">
          <cell r="AE952" t="str">
            <v>03 - PENDIENTE</v>
          </cell>
          <cell r="AP952">
            <v>130943352</v>
          </cell>
        </row>
        <row r="953">
          <cell r="AE953" t="str">
            <v>04 - NO RENOVADA</v>
          </cell>
          <cell r="AP953">
            <v>521725</v>
          </cell>
        </row>
        <row r="954">
          <cell r="AE954" t="str">
            <v>01 - RENOVADA</v>
          </cell>
          <cell r="AP954">
            <v>70216591</v>
          </cell>
        </row>
        <row r="955">
          <cell r="AE955" t="str">
            <v>03 - PENDIENTE</v>
          </cell>
          <cell r="AP955">
            <v>70193560</v>
          </cell>
        </row>
        <row r="956">
          <cell r="AE956" t="str">
            <v>05 - ANULADA EN VIGENCIA</v>
          </cell>
          <cell r="AP956">
            <v>1161910118029</v>
          </cell>
        </row>
        <row r="957">
          <cell r="AE957" t="str">
            <v>05 - ANULADA EN VIGENCIA</v>
          </cell>
          <cell r="AP957">
            <v>34080</v>
          </cell>
        </row>
        <row r="958">
          <cell r="AE958" t="str">
            <v>05 - ANULADA EN VIGENCIA</v>
          </cell>
          <cell r="AP958">
            <v>2009850217</v>
          </cell>
        </row>
        <row r="959">
          <cell r="AE959" t="str">
            <v>05 - ANULADA EN VIGENCIA</v>
          </cell>
          <cell r="AP959">
            <v>2004687768</v>
          </cell>
        </row>
        <row r="960">
          <cell r="AE960" t="str">
            <v>04 - NO RENOVADA</v>
          </cell>
          <cell r="AP960">
            <v>963025</v>
          </cell>
        </row>
        <row r="961">
          <cell r="AE961" t="str">
            <v>01 - RENOVADA</v>
          </cell>
          <cell r="AP961">
            <v>1547940</v>
          </cell>
        </row>
        <row r="962">
          <cell r="AE962" t="str">
            <v>01 - RENOVADA</v>
          </cell>
          <cell r="AP962">
            <v>70228204</v>
          </cell>
        </row>
        <row r="963">
          <cell r="AE963" t="str">
            <v>01 - RENOVADA</v>
          </cell>
          <cell r="AP963">
            <v>1066596</v>
          </cell>
        </row>
        <row r="964">
          <cell r="AE964" t="str">
            <v>01 - RENOVADA</v>
          </cell>
          <cell r="AP964">
            <v>2008496478</v>
          </cell>
        </row>
        <row r="965">
          <cell r="AE965" t="str">
            <v>01 - RENOVADA</v>
          </cell>
          <cell r="AP965">
            <v>2001816632</v>
          </cell>
        </row>
        <row r="966">
          <cell r="AE966" t="str">
            <v>01 - RENOVADA</v>
          </cell>
          <cell r="AP966">
            <v>1530897</v>
          </cell>
        </row>
        <row r="967">
          <cell r="AE967" t="str">
            <v>04 - NO RENOVADA</v>
          </cell>
          <cell r="AP967">
            <v>1279330</v>
          </cell>
        </row>
        <row r="968">
          <cell r="AE968" t="str">
            <v>04 - NO RENOVADA</v>
          </cell>
          <cell r="AP968">
            <v>1279338</v>
          </cell>
        </row>
        <row r="969">
          <cell r="AE969" t="str">
            <v>01 - RENOVADA</v>
          </cell>
          <cell r="AP969">
            <v>1547970</v>
          </cell>
        </row>
        <row r="970">
          <cell r="AE970" t="str">
            <v>01 - RENOVADA</v>
          </cell>
          <cell r="AP970">
            <v>1547976</v>
          </cell>
        </row>
        <row r="971">
          <cell r="AE971" t="str">
            <v>01 - RENOVADA</v>
          </cell>
          <cell r="AP971">
            <v>1516120</v>
          </cell>
        </row>
        <row r="972">
          <cell r="AE972" t="str">
            <v>05 - ANULADA EN VIGENCIA</v>
          </cell>
          <cell r="AP972">
            <v>15902</v>
          </cell>
        </row>
        <row r="973">
          <cell r="AE973" t="str">
            <v>01 - RENOVADA</v>
          </cell>
          <cell r="AP973">
            <v>1403095</v>
          </cell>
        </row>
        <row r="974">
          <cell r="AE974" t="str">
            <v>01 - RENOVADA</v>
          </cell>
          <cell r="AP974">
            <v>506508</v>
          </cell>
        </row>
        <row r="975">
          <cell r="AE975" t="str">
            <v>01 - RENOVADA</v>
          </cell>
          <cell r="AP975">
            <v>510777</v>
          </cell>
        </row>
        <row r="976">
          <cell r="AE976" t="str">
            <v>05 - ANULADA EN VIGENCIA</v>
          </cell>
          <cell r="AP976">
            <v>70194886</v>
          </cell>
        </row>
        <row r="977">
          <cell r="AE977" t="str">
            <v>05 - ANULADA EN VIGENCIA</v>
          </cell>
          <cell r="AP977">
            <v>70194893</v>
          </cell>
        </row>
        <row r="978">
          <cell r="AE978" t="str">
            <v>03 - PENDIENTE</v>
          </cell>
          <cell r="AP978">
            <v>9447022</v>
          </cell>
        </row>
        <row r="979">
          <cell r="AE979" t="str">
            <v>03 - PENDIENTE</v>
          </cell>
          <cell r="AP979">
            <v>1484817</v>
          </cell>
        </row>
        <row r="980">
          <cell r="AE980" t="str">
            <v>01 - RENOVADA</v>
          </cell>
          <cell r="AP980">
            <v>1506685</v>
          </cell>
        </row>
        <row r="981">
          <cell r="AE981" t="str">
            <v>05 - ANULADA EN VIGENCIA</v>
          </cell>
          <cell r="AP981">
            <v>2008785067</v>
          </cell>
        </row>
        <row r="982">
          <cell r="AE982" t="str">
            <v>05 - ANULADA EN VIGENCIA</v>
          </cell>
          <cell r="AP982">
            <v>2009009760</v>
          </cell>
        </row>
        <row r="983">
          <cell r="AE983" t="str">
            <v>08 - VIGENCIA ANTERIOR</v>
          </cell>
          <cell r="AP983">
            <v>2004669495</v>
          </cell>
        </row>
        <row r="984">
          <cell r="AE984" t="str">
            <v>04 - NO RENOVADA</v>
          </cell>
          <cell r="AP984">
            <v>2008802866</v>
          </cell>
        </row>
        <row r="985">
          <cell r="AE985" t="str">
            <v>05 - ANULADA EN VIGENCIA</v>
          </cell>
          <cell r="AP985">
            <v>472273</v>
          </cell>
        </row>
        <row r="986">
          <cell r="AE986" t="str">
            <v>05 - ANULADA EN VIGENCIA</v>
          </cell>
          <cell r="AP986">
            <v>627513</v>
          </cell>
        </row>
        <row r="987">
          <cell r="AE987" t="str">
            <v>05 - ANULADA EN VIGENCIA</v>
          </cell>
          <cell r="AP987">
            <v>16438950</v>
          </cell>
        </row>
        <row r="988">
          <cell r="AE988" t="str">
            <v>01 - RENOVADA</v>
          </cell>
          <cell r="AP988">
            <v>69196</v>
          </cell>
        </row>
        <row r="989">
          <cell r="AE989" t="str">
            <v>01 - RENOVADA</v>
          </cell>
          <cell r="AP989">
            <v>41296</v>
          </cell>
        </row>
        <row r="990">
          <cell r="AE990" t="str">
            <v>01 - RENOVADA</v>
          </cell>
          <cell r="AP990">
            <v>69328</v>
          </cell>
        </row>
        <row r="991">
          <cell r="AE991" t="str">
            <v>04 - NO RENOVADA</v>
          </cell>
          <cell r="AP991">
            <v>16876424</v>
          </cell>
        </row>
        <row r="992">
          <cell r="AE992" t="str">
            <v>05 - ANULADA EN VIGENCIA</v>
          </cell>
          <cell r="AP992">
            <v>32373</v>
          </cell>
        </row>
        <row r="993">
          <cell r="AE993" t="str">
            <v>05 - ANULADA EN VIGENCIA</v>
          </cell>
          <cell r="AP993">
            <v>1011298</v>
          </cell>
        </row>
        <row r="994">
          <cell r="AE994" t="str">
            <v>05 - ANULADA EN VIGENCIA</v>
          </cell>
          <cell r="AP994">
            <v>1117784</v>
          </cell>
        </row>
        <row r="995">
          <cell r="AE995" t="str">
            <v>01 - RENOVADA</v>
          </cell>
          <cell r="AP995">
            <v>70227871</v>
          </cell>
        </row>
        <row r="996">
          <cell r="AE996" t="str">
            <v>04 - NO RENOVADA</v>
          </cell>
          <cell r="AP996">
            <v>2008791213</v>
          </cell>
        </row>
        <row r="997">
          <cell r="AE997" t="str">
            <v>05 - ANULADA EN VIGENCIA</v>
          </cell>
          <cell r="AP997">
            <v>5507423</v>
          </cell>
        </row>
        <row r="998">
          <cell r="AE998" t="str">
            <v>05 - ANULADA EN VIGENCIA</v>
          </cell>
          <cell r="AP998">
            <v>77805</v>
          </cell>
        </row>
        <row r="999">
          <cell r="AE999" t="str">
            <v>05 - ANULADA EN VIGENCIA</v>
          </cell>
          <cell r="AP999">
            <v>70142704</v>
          </cell>
        </row>
        <row r="1000">
          <cell r="AE1000" t="str">
            <v>04 - NO RENOVADA</v>
          </cell>
          <cell r="AP1000">
            <v>70113315</v>
          </cell>
        </row>
        <row r="1001">
          <cell r="AE1001" t="str">
            <v>05 - ANULADA EN VIGENCIA</v>
          </cell>
          <cell r="AP1001">
            <v>75325</v>
          </cell>
        </row>
        <row r="1002">
          <cell r="AE1002" t="str">
            <v>05 - ANULADA EN VIGENCIA</v>
          </cell>
          <cell r="AP1002">
            <v>75156</v>
          </cell>
        </row>
        <row r="1003">
          <cell r="AE1003" t="str">
            <v>04 - NO RENOVADA</v>
          </cell>
          <cell r="AP1003">
            <v>2003190743</v>
          </cell>
        </row>
        <row r="1004">
          <cell r="AE1004" t="str">
            <v>05 - ANULADA EN VIGENCIA</v>
          </cell>
          <cell r="AP1004">
            <v>997344</v>
          </cell>
        </row>
        <row r="1005">
          <cell r="AE1005" t="str">
            <v>01 - RENOVADA</v>
          </cell>
          <cell r="AP1005">
            <v>94159</v>
          </cell>
        </row>
        <row r="1006">
          <cell r="AE1006" t="str">
            <v>05 - ANULADA EN VIGENCIA</v>
          </cell>
          <cell r="AP1006">
            <v>33027</v>
          </cell>
        </row>
        <row r="1007">
          <cell r="AE1007" t="str">
            <v>01 - RENOVADA</v>
          </cell>
          <cell r="AP1007">
            <v>7908843</v>
          </cell>
        </row>
        <row r="1008">
          <cell r="AE1008" t="str">
            <v>01 - RENOVADA</v>
          </cell>
          <cell r="AP1008">
            <v>7933561</v>
          </cell>
        </row>
        <row r="1009">
          <cell r="AE1009" t="str">
            <v>05 - ANULADA EN VIGENCIA</v>
          </cell>
          <cell r="AP1009">
            <v>37825</v>
          </cell>
        </row>
        <row r="1010">
          <cell r="AE1010" t="str">
            <v>05 - ANULADA EN VIGENCIA</v>
          </cell>
          <cell r="AP1010">
            <v>1067050</v>
          </cell>
        </row>
        <row r="1011">
          <cell r="AE1011" t="str">
            <v>05 - ANULADA EN VIGENCIA</v>
          </cell>
          <cell r="AP1011">
            <v>1276116</v>
          </cell>
        </row>
        <row r="1012">
          <cell r="AE1012" t="str">
            <v>04 - NO RENOVADA</v>
          </cell>
          <cell r="AP1012">
            <v>51404</v>
          </cell>
        </row>
        <row r="1013">
          <cell r="AE1013" t="str">
            <v>01 - RENOVADA</v>
          </cell>
          <cell r="AP1013">
            <v>70210639</v>
          </cell>
        </row>
        <row r="1014">
          <cell r="AE1014" t="str">
            <v>03 - PENDIENTE</v>
          </cell>
          <cell r="AP1014">
            <v>17591243</v>
          </cell>
        </row>
        <row r="1015">
          <cell r="AE1015" t="str">
            <v>04 - NO RENOVADA</v>
          </cell>
          <cell r="AP1015">
            <v>476840</v>
          </cell>
        </row>
        <row r="1016">
          <cell r="AE1016" t="str">
            <v>04 - NO RENOVADA</v>
          </cell>
          <cell r="AP1016">
            <v>1119745</v>
          </cell>
        </row>
        <row r="1017">
          <cell r="AE1017" t="str">
            <v>01 - RENOVADA</v>
          </cell>
          <cell r="AP1017">
            <v>1420200</v>
          </cell>
        </row>
        <row r="1018">
          <cell r="AE1018" t="str">
            <v>03 - PENDIENTE</v>
          </cell>
          <cell r="AP1018">
            <v>9399985</v>
          </cell>
        </row>
        <row r="1019">
          <cell r="AE1019" t="str">
            <v>01 - RENOVADA</v>
          </cell>
          <cell r="AP1019">
            <v>2010734266</v>
          </cell>
        </row>
        <row r="1020">
          <cell r="AE1020" t="str">
            <v>01 - RENOVADA</v>
          </cell>
          <cell r="AP1020">
            <v>3659</v>
          </cell>
        </row>
        <row r="1021">
          <cell r="AE1021" t="str">
            <v>01 - RENOVADA</v>
          </cell>
          <cell r="AP1021">
            <v>1464173</v>
          </cell>
        </row>
        <row r="1022">
          <cell r="AE1022" t="str">
            <v>05 - ANULADA EN VIGENCIA</v>
          </cell>
          <cell r="AP1022">
            <v>2000258545</v>
          </cell>
        </row>
        <row r="1023">
          <cell r="AE1023" t="str">
            <v>01 - RENOVADA</v>
          </cell>
          <cell r="AP1023">
            <v>17151088</v>
          </cell>
        </row>
        <row r="1024">
          <cell r="AE1024" t="str">
            <v>05 - ANULADA EN VIGENCIA</v>
          </cell>
          <cell r="AP1024">
            <v>16655741</v>
          </cell>
        </row>
        <row r="1025">
          <cell r="AE1025" t="str">
            <v>05 - ANULADA EN VIGENCIA</v>
          </cell>
          <cell r="AP1025">
            <v>9182727</v>
          </cell>
        </row>
        <row r="1026">
          <cell r="AE1026" t="str">
            <v>05 - ANULADA EN VIGENCIA</v>
          </cell>
          <cell r="AP1026">
            <v>2001567594</v>
          </cell>
        </row>
        <row r="1027">
          <cell r="AE1027" t="str">
            <v>05 - ANULADA EN VIGENCIA</v>
          </cell>
          <cell r="AP1027">
            <v>1040159</v>
          </cell>
        </row>
        <row r="1028">
          <cell r="AE1028" t="str">
            <v>05 - ANULADA EN VIGENCIA</v>
          </cell>
          <cell r="AP1028">
            <v>1234111</v>
          </cell>
        </row>
        <row r="1029">
          <cell r="AE1029" t="str">
            <v>01 - RENOVADA</v>
          </cell>
          <cell r="AP1029">
            <v>16863467</v>
          </cell>
        </row>
        <row r="1030">
          <cell r="AE1030" t="str">
            <v>08 - VIGENCIA ANTERIOR</v>
          </cell>
          <cell r="AP1030">
            <v>1269387</v>
          </cell>
        </row>
        <row r="1031">
          <cell r="AE1031" t="str">
            <v>01 - RENOVADA</v>
          </cell>
          <cell r="AP1031">
            <v>1551803</v>
          </cell>
        </row>
        <row r="1032">
          <cell r="AE1032" t="str">
            <v>01 - RENOVADA</v>
          </cell>
          <cell r="AP1032">
            <v>64562</v>
          </cell>
        </row>
        <row r="1033">
          <cell r="AE1033" t="str">
            <v>04 - NO RENOVADA</v>
          </cell>
          <cell r="AP1033">
            <v>1073698</v>
          </cell>
        </row>
        <row r="1034">
          <cell r="AE1034" t="str">
            <v>01 - RENOVADA</v>
          </cell>
          <cell r="AP1034">
            <v>2009010647</v>
          </cell>
        </row>
        <row r="1035">
          <cell r="AE1035" t="str">
            <v>01 - RENOVADA</v>
          </cell>
          <cell r="AP1035">
            <v>2010733777</v>
          </cell>
        </row>
        <row r="1036">
          <cell r="AE1036" t="str">
            <v>05 - ANULADA EN VIGENCIA</v>
          </cell>
          <cell r="AP1036">
            <v>2003945357</v>
          </cell>
        </row>
        <row r="1037">
          <cell r="AE1037" t="str">
            <v>05 - ANULADA EN VIGENCIA</v>
          </cell>
          <cell r="AP1037">
            <v>1365099</v>
          </cell>
        </row>
        <row r="1038">
          <cell r="AE1038" t="str">
            <v>01 - RENOVADA</v>
          </cell>
          <cell r="AP1038">
            <v>2009939734</v>
          </cell>
        </row>
        <row r="1039">
          <cell r="AE1039" t="str">
            <v>01 - RENOVADA</v>
          </cell>
          <cell r="AP1039">
            <v>2009939803</v>
          </cell>
        </row>
        <row r="1040">
          <cell r="AE1040" t="str">
            <v>01 - RENOVADA</v>
          </cell>
          <cell r="AP1040">
            <v>51407</v>
          </cell>
        </row>
        <row r="1041">
          <cell r="AE1041" t="str">
            <v>01 - RENOVADA</v>
          </cell>
          <cell r="AP1041">
            <v>50278</v>
          </cell>
        </row>
        <row r="1042">
          <cell r="AE1042" t="str">
            <v>05 - ANULADA EN VIGENCIA</v>
          </cell>
          <cell r="AP1042">
            <v>35337</v>
          </cell>
        </row>
        <row r="1043">
          <cell r="AE1043" t="str">
            <v>03 - PENDIENTE</v>
          </cell>
          <cell r="AP1043">
            <v>17120622</v>
          </cell>
        </row>
        <row r="1044">
          <cell r="AE1044" t="str">
            <v>01 - RENOVADA</v>
          </cell>
          <cell r="AP1044">
            <v>4424229</v>
          </cell>
        </row>
        <row r="1045">
          <cell r="AE1045" t="str">
            <v>08 - VIGENCIA ANTERIOR</v>
          </cell>
          <cell r="AP1045">
            <v>956091</v>
          </cell>
        </row>
        <row r="1046">
          <cell r="AE1046" t="str">
            <v>08 - VIGENCIA ANTERIOR</v>
          </cell>
          <cell r="AP1046">
            <v>1260313</v>
          </cell>
        </row>
        <row r="1047">
          <cell r="AE1047" t="str">
            <v>05 - ANULADA EN VIGENCIA</v>
          </cell>
          <cell r="AP1047">
            <v>1430843</v>
          </cell>
        </row>
        <row r="1048">
          <cell r="AE1048" t="str">
            <v>01 - RENOVADA</v>
          </cell>
          <cell r="AP1048">
            <v>2010209763</v>
          </cell>
        </row>
        <row r="1049">
          <cell r="AE1049" t="str">
            <v>04 - NO RENOVADA</v>
          </cell>
          <cell r="AP1049">
            <v>2003030667</v>
          </cell>
        </row>
        <row r="1050">
          <cell r="AE1050" t="str">
            <v>03 - PENDIENTE</v>
          </cell>
          <cell r="AP1050" t="str">
            <v>TE-000153-0</v>
          </cell>
        </row>
        <row r="1051">
          <cell r="AE1051" t="str">
            <v>05 - ANULADA EN VIGENCIA</v>
          </cell>
          <cell r="AP1051">
            <v>2004569796</v>
          </cell>
        </row>
        <row r="1052">
          <cell r="AE1052" t="str">
            <v>01 - RENOVADA</v>
          </cell>
          <cell r="AP1052">
            <v>16325184</v>
          </cell>
        </row>
        <row r="1053">
          <cell r="AE1053" t="str">
            <v>01 - RENOVADA</v>
          </cell>
          <cell r="AP1053">
            <v>2009848939</v>
          </cell>
        </row>
        <row r="1054">
          <cell r="AE1054" t="str">
            <v>08 - VIGENCIA ANTERIOR</v>
          </cell>
          <cell r="AP1054">
            <v>1055852</v>
          </cell>
        </row>
        <row r="1055">
          <cell r="AE1055" t="str">
            <v>08 - VIGENCIA ANTERIOR</v>
          </cell>
          <cell r="AP1055">
            <v>1261426</v>
          </cell>
        </row>
        <row r="1056">
          <cell r="AE1056" t="str">
            <v>01 - RENOVADA</v>
          </cell>
          <cell r="AP1056">
            <v>1538612</v>
          </cell>
        </row>
        <row r="1057">
          <cell r="AE1057" t="str">
            <v>04 - NO RENOVADA</v>
          </cell>
          <cell r="AP1057">
            <v>1090830</v>
          </cell>
        </row>
        <row r="1058">
          <cell r="AE1058" t="str">
            <v>04 - NO RENOVADA</v>
          </cell>
          <cell r="AP1058">
            <v>2010868317</v>
          </cell>
        </row>
        <row r="1059">
          <cell r="AE1059" t="str">
            <v>01 - RENOVADA</v>
          </cell>
          <cell r="AP1059">
            <v>1403100</v>
          </cell>
        </row>
        <row r="1060">
          <cell r="AE1060" t="str">
            <v>05 - ANULADA EN VIGENCIA</v>
          </cell>
          <cell r="AP1060">
            <v>2009501627</v>
          </cell>
        </row>
        <row r="1061">
          <cell r="AE1061" t="str">
            <v>05 - ANULADA EN VIGENCIA</v>
          </cell>
          <cell r="AP1061">
            <v>2011309740</v>
          </cell>
        </row>
        <row r="1062">
          <cell r="AE1062" t="str">
            <v>05 - ANULADA EN VIGENCIA</v>
          </cell>
          <cell r="AP1062">
            <v>1073695</v>
          </cell>
        </row>
        <row r="1063">
          <cell r="AE1063" t="str">
            <v>05 - ANULADA EN VIGENCIA</v>
          </cell>
          <cell r="AP1063">
            <v>1294398</v>
          </cell>
        </row>
        <row r="1064">
          <cell r="AE1064" t="str">
            <v>04 - NO RENOVADA</v>
          </cell>
          <cell r="AP1064">
            <v>2009495232</v>
          </cell>
        </row>
        <row r="1065">
          <cell r="AE1065" t="str">
            <v>01 - RENOVADA</v>
          </cell>
          <cell r="AP1065">
            <v>2001533637</v>
          </cell>
        </row>
        <row r="1066">
          <cell r="AE1066" t="str">
            <v>01 - RENOVADA</v>
          </cell>
          <cell r="AP1066">
            <v>2001816564</v>
          </cell>
        </row>
        <row r="1067">
          <cell r="AE1067" t="str">
            <v>01 - RENOVADA</v>
          </cell>
          <cell r="AP1067">
            <v>70210563</v>
          </cell>
        </row>
        <row r="1068">
          <cell r="AE1068" t="str">
            <v>01 - RENOVADA</v>
          </cell>
          <cell r="AP1068">
            <v>1118321</v>
          </cell>
        </row>
        <row r="1069">
          <cell r="AE1069" t="str">
            <v>05 - ANULADA EN VIGENCIA</v>
          </cell>
          <cell r="AP1069">
            <v>2009535231</v>
          </cell>
        </row>
        <row r="1070">
          <cell r="AE1070" t="str">
            <v>01 - RENOVADA</v>
          </cell>
          <cell r="AP1070">
            <v>2011928434</v>
          </cell>
        </row>
        <row r="1071">
          <cell r="AE1071" t="str">
            <v>01 - RENOVADA</v>
          </cell>
          <cell r="AP1071">
            <v>2011929056</v>
          </cell>
        </row>
        <row r="1072">
          <cell r="AE1072" t="str">
            <v>08 - VIGENCIA ANTERIOR</v>
          </cell>
          <cell r="AP1072">
            <v>2004964848</v>
          </cell>
        </row>
        <row r="1073">
          <cell r="AE1073" t="str">
            <v>05 - ANULADA EN VIGENCIA</v>
          </cell>
          <cell r="AP1073">
            <v>2009010050</v>
          </cell>
        </row>
        <row r="1074">
          <cell r="AE1074" t="str">
            <v>04 - NO RENOVADA</v>
          </cell>
          <cell r="AP1074">
            <v>16749075</v>
          </cell>
        </row>
        <row r="1075">
          <cell r="AE1075" t="str">
            <v>05 - ANULADA EN VIGENCIA</v>
          </cell>
          <cell r="AP1075">
            <v>16776043</v>
          </cell>
        </row>
        <row r="1076">
          <cell r="AE1076" t="str">
            <v>05 - ANULADA EN VIGENCIA</v>
          </cell>
          <cell r="AP1076">
            <v>3594364</v>
          </cell>
        </row>
        <row r="1077">
          <cell r="AE1077" t="str">
            <v>04 - NO RENOVADA</v>
          </cell>
          <cell r="AP1077">
            <v>706435</v>
          </cell>
        </row>
        <row r="1078">
          <cell r="AE1078" t="str">
            <v>08 - VIGENCIA ANTERIOR</v>
          </cell>
          <cell r="AP1078">
            <v>2006449748</v>
          </cell>
        </row>
        <row r="1079">
          <cell r="AE1079" t="str">
            <v>05 - ANULADA EN VIGENCIA</v>
          </cell>
          <cell r="AP1079">
            <v>2009004696</v>
          </cell>
        </row>
        <row r="1080">
          <cell r="AE1080" t="str">
            <v>01 - RENOVADA</v>
          </cell>
          <cell r="AP1080">
            <v>1675445</v>
          </cell>
        </row>
        <row r="1081">
          <cell r="AE1081" t="str">
            <v>01 - RENOVADA</v>
          </cell>
          <cell r="AP1081">
            <v>2009843638</v>
          </cell>
        </row>
        <row r="1082">
          <cell r="AE1082" t="str">
            <v>03 - PENDIENTE</v>
          </cell>
          <cell r="AP1082">
            <v>660000283</v>
          </cell>
        </row>
        <row r="1083">
          <cell r="AE1083" t="str">
            <v>01 - RENOVADA</v>
          </cell>
          <cell r="AP1083">
            <v>2002663533</v>
          </cell>
        </row>
        <row r="1084">
          <cell r="AE1084" t="str">
            <v>01 - RENOVADA</v>
          </cell>
          <cell r="AP1084">
            <v>817913</v>
          </cell>
        </row>
        <row r="1085">
          <cell r="AE1085" t="str">
            <v>05 - ANULADA EN VIGENCIA</v>
          </cell>
          <cell r="AP1085">
            <v>70177322</v>
          </cell>
        </row>
        <row r="1086">
          <cell r="AE1086" t="str">
            <v>01 - RENOVADA</v>
          </cell>
          <cell r="AP1086">
            <v>2011935851</v>
          </cell>
        </row>
        <row r="1087">
          <cell r="AE1087" t="str">
            <v>03 - PENDIENTE</v>
          </cell>
          <cell r="AP1087">
            <v>2012023530</v>
          </cell>
        </row>
        <row r="1088">
          <cell r="AE1088" t="str">
            <v>03 - PENDIENTE</v>
          </cell>
          <cell r="AP1088">
            <v>2001173065</v>
          </cell>
        </row>
        <row r="1089">
          <cell r="AE1089" t="str">
            <v>01 - RENOVADA</v>
          </cell>
          <cell r="AP1089">
            <v>2007420076</v>
          </cell>
        </row>
        <row r="1090">
          <cell r="AE1090" t="str">
            <v>05 - ANULADA EN VIGENCIA</v>
          </cell>
          <cell r="AP1090">
            <v>768726</v>
          </cell>
        </row>
        <row r="1091">
          <cell r="AE1091" t="str">
            <v>05 - ANULADA EN VIGENCIA</v>
          </cell>
          <cell r="AP1091">
            <v>38830</v>
          </cell>
        </row>
        <row r="1092">
          <cell r="AE1092" t="str">
            <v>05 - ANULADA EN VIGENCIA</v>
          </cell>
          <cell r="AP1092">
            <v>517621</v>
          </cell>
        </row>
        <row r="1093">
          <cell r="AE1093" t="str">
            <v>01 - RENOVADA</v>
          </cell>
          <cell r="AP1093">
            <v>3010810101980</v>
          </cell>
        </row>
        <row r="1094">
          <cell r="AE1094" t="str">
            <v>08 - VIGENCIA ANTERIOR</v>
          </cell>
          <cell r="AP1094">
            <v>3022300249047</v>
          </cell>
        </row>
        <row r="1095">
          <cell r="AE1095" t="str">
            <v>04 - NO RENOVADA</v>
          </cell>
          <cell r="AP1095">
            <v>3022400209763</v>
          </cell>
        </row>
        <row r="1096">
          <cell r="AE1096" t="str">
            <v>05 - ANULADA EN VIGENCIA</v>
          </cell>
          <cell r="AP1096">
            <v>75335</v>
          </cell>
        </row>
        <row r="1097">
          <cell r="AE1097" t="str">
            <v>04 - NO RENOVADA</v>
          </cell>
          <cell r="AP1097">
            <v>2004799506</v>
          </cell>
        </row>
        <row r="1098">
          <cell r="AE1098" t="str">
            <v>05 - ANULADA EN VIGENCIA</v>
          </cell>
          <cell r="AP1098">
            <v>459451</v>
          </cell>
        </row>
        <row r="1099">
          <cell r="AE1099" t="str">
            <v>05 - ANULADA EN VIGENCIA</v>
          </cell>
          <cell r="AP1099">
            <v>2009823733</v>
          </cell>
        </row>
        <row r="1100">
          <cell r="AE1100" t="str">
            <v>05 - ANULADA EN VIGENCIA</v>
          </cell>
          <cell r="AP1100">
            <v>43740</v>
          </cell>
        </row>
        <row r="1101">
          <cell r="AE1101" t="str">
            <v>05 - ANULADA EN VIGENCIA</v>
          </cell>
          <cell r="AP1101">
            <v>1126615</v>
          </cell>
        </row>
        <row r="1102">
          <cell r="AE1102" t="str">
            <v>01 - RENOVADA</v>
          </cell>
          <cell r="AP1102">
            <v>9456176</v>
          </cell>
        </row>
        <row r="1103">
          <cell r="AE1103" t="str">
            <v>01 - RENOVADA</v>
          </cell>
          <cell r="AP1103">
            <v>2008557334</v>
          </cell>
        </row>
        <row r="1104">
          <cell r="AE1104" t="str">
            <v>01 - RENOVADA</v>
          </cell>
          <cell r="AP1104">
            <v>2011662959</v>
          </cell>
        </row>
        <row r="1105">
          <cell r="AE1105" t="str">
            <v>01 - RENOVADA</v>
          </cell>
          <cell r="AP1105">
            <v>1471392</v>
          </cell>
        </row>
        <row r="1106">
          <cell r="AE1106" t="str">
            <v>01 - RENOVADA</v>
          </cell>
          <cell r="AP1106">
            <v>64768</v>
          </cell>
        </row>
        <row r="1107">
          <cell r="AE1107" t="str">
            <v>05 - ANULADA EN VIGENCIA</v>
          </cell>
          <cell r="AP1107">
            <v>2009902384</v>
          </cell>
        </row>
        <row r="1108">
          <cell r="AE1108" t="str">
            <v>05 - ANULADA EN VIGENCIA</v>
          </cell>
          <cell r="AP1108">
            <v>5852</v>
          </cell>
        </row>
        <row r="1109">
          <cell r="AE1109" t="str">
            <v>01 - RENOVADA</v>
          </cell>
          <cell r="AP1109">
            <v>16778041</v>
          </cell>
        </row>
        <row r="1110">
          <cell r="AE1110" t="str">
            <v>01 - RENOVADA</v>
          </cell>
          <cell r="AP1110">
            <v>2211</v>
          </cell>
        </row>
        <row r="1111">
          <cell r="AE1111" t="str">
            <v>01 - RENOVADA</v>
          </cell>
          <cell r="AP1111">
            <v>2006940564</v>
          </cell>
        </row>
        <row r="1112">
          <cell r="AE1112" t="str">
            <v>01 - RENOVADA</v>
          </cell>
          <cell r="AP1112">
            <v>70218063</v>
          </cell>
        </row>
        <row r="1113">
          <cell r="AE1113" t="str">
            <v>01 - RENOVADA</v>
          </cell>
          <cell r="AP1113">
            <v>70238531</v>
          </cell>
        </row>
        <row r="1114">
          <cell r="AE1114" t="str">
            <v>01 - RENOVADA</v>
          </cell>
          <cell r="AP1114">
            <v>70243135</v>
          </cell>
        </row>
        <row r="1115">
          <cell r="AE1115" t="str">
            <v>05 - ANULADA EN VIGENCIA</v>
          </cell>
          <cell r="AP1115">
            <v>47453</v>
          </cell>
        </row>
        <row r="1116">
          <cell r="AE1116" t="str">
            <v>05 - ANULADA EN VIGENCIA</v>
          </cell>
          <cell r="AP1116">
            <v>2005916234</v>
          </cell>
        </row>
        <row r="1117">
          <cell r="AE1117" t="str">
            <v>05 - ANULADA EN VIGENCIA</v>
          </cell>
          <cell r="AP1117">
            <v>1107799</v>
          </cell>
        </row>
        <row r="1118">
          <cell r="AE1118" t="str">
            <v>01 - RENOVADA</v>
          </cell>
          <cell r="AP1118">
            <v>126332061</v>
          </cell>
        </row>
        <row r="1119">
          <cell r="AE1119" t="str">
            <v>01 - RENOVADA</v>
          </cell>
          <cell r="AP1119">
            <v>1483658</v>
          </cell>
        </row>
        <row r="1120">
          <cell r="AE1120" t="str">
            <v>05 - ANULADA EN VIGENCIA</v>
          </cell>
          <cell r="AP1120">
            <v>2004714523</v>
          </cell>
        </row>
        <row r="1121">
          <cell r="AE1121" t="str">
            <v>05 - ANULADA EN VIGENCIA</v>
          </cell>
          <cell r="AP1121">
            <v>6671013</v>
          </cell>
        </row>
        <row r="1122">
          <cell r="AE1122" t="str">
            <v>05 - ANULADA EN VIGENCIA</v>
          </cell>
          <cell r="AP1122">
            <v>2003389927</v>
          </cell>
        </row>
        <row r="1123">
          <cell r="AE1123" t="str">
            <v>05 - ANULADA EN VIGENCIA</v>
          </cell>
          <cell r="AP1123">
            <v>7723240</v>
          </cell>
        </row>
        <row r="1124">
          <cell r="AE1124" t="str">
            <v>05 - ANULADA EN VIGENCIA</v>
          </cell>
          <cell r="AP1124">
            <v>21011019829</v>
          </cell>
        </row>
        <row r="1125">
          <cell r="AE1125" t="str">
            <v>05 - ANULADA EN VIGENCIA</v>
          </cell>
          <cell r="AP1125">
            <v>1123578</v>
          </cell>
        </row>
        <row r="1126">
          <cell r="AE1126" t="str">
            <v>04 - NO RENOVADA</v>
          </cell>
          <cell r="AP1126">
            <v>2006252522</v>
          </cell>
        </row>
        <row r="1127">
          <cell r="AE1127" t="str">
            <v>05 - ANULADA EN VIGENCIA</v>
          </cell>
          <cell r="AP1127">
            <v>2003664490</v>
          </cell>
        </row>
        <row r="1128">
          <cell r="AE1128" t="str">
            <v>05 - ANULADA EN VIGENCIA</v>
          </cell>
          <cell r="AP1128">
            <v>1095955</v>
          </cell>
        </row>
        <row r="1129">
          <cell r="AE1129" t="str">
            <v>05 - ANULADA EN VIGENCIA</v>
          </cell>
          <cell r="AP1129">
            <v>1300718</v>
          </cell>
        </row>
        <row r="1130">
          <cell r="AE1130" t="str">
            <v>05 - ANULADA EN VIGENCIA</v>
          </cell>
          <cell r="AP1130">
            <v>1306719</v>
          </cell>
        </row>
        <row r="1131">
          <cell r="AE1131" t="str">
            <v>01 - RENOVADA</v>
          </cell>
          <cell r="AP1131">
            <v>70210580</v>
          </cell>
        </row>
        <row r="1132">
          <cell r="AE1132" t="str">
            <v>05 - ANULADA EN VIGENCIA</v>
          </cell>
          <cell r="AP1132">
            <v>1371399</v>
          </cell>
        </row>
        <row r="1133">
          <cell r="AE1133" t="str">
            <v>01 - RENOVADA</v>
          </cell>
          <cell r="AP1133">
            <v>1465908</v>
          </cell>
        </row>
        <row r="1134">
          <cell r="AE1134" t="str">
            <v>04 - NO RENOVADA</v>
          </cell>
          <cell r="AP1134">
            <v>15018432</v>
          </cell>
        </row>
        <row r="1135">
          <cell r="AE1135" t="str">
            <v>04 - NO RENOVADA</v>
          </cell>
          <cell r="AP1135">
            <v>16723275</v>
          </cell>
        </row>
        <row r="1136">
          <cell r="AE1136" t="str">
            <v>05 - ANULADA EN VIGENCIA</v>
          </cell>
          <cell r="AP1136">
            <v>36561</v>
          </cell>
        </row>
        <row r="1137">
          <cell r="AE1137" t="str">
            <v>04 - NO RENOVADA</v>
          </cell>
          <cell r="AP1137">
            <v>70123610</v>
          </cell>
        </row>
        <row r="1138">
          <cell r="AE1138" t="str">
            <v>05 - ANULADA EN VIGENCIA</v>
          </cell>
          <cell r="AP1138">
            <v>70155305</v>
          </cell>
        </row>
        <row r="1139">
          <cell r="AE1139" t="str">
            <v>01 - RENOVADA</v>
          </cell>
          <cell r="AP1139">
            <v>1417349</v>
          </cell>
        </row>
        <row r="1140">
          <cell r="AE1140" t="str">
            <v>01 - RENOVADA</v>
          </cell>
          <cell r="AP1140">
            <v>55748</v>
          </cell>
        </row>
        <row r="1141">
          <cell r="AE1141" t="str">
            <v>08 - VIGENCIA ANTERIOR</v>
          </cell>
          <cell r="AP1141">
            <v>792054</v>
          </cell>
        </row>
        <row r="1142">
          <cell r="AE1142" t="str">
            <v>04 - NO RENOVADA</v>
          </cell>
          <cell r="AP1142">
            <v>882738</v>
          </cell>
        </row>
        <row r="1143">
          <cell r="AE1143" t="str">
            <v>04 - NO RENOVADA</v>
          </cell>
          <cell r="AP1143">
            <v>1063561</v>
          </cell>
        </row>
        <row r="1144">
          <cell r="AE1144" t="str">
            <v>01 - RENOVADA</v>
          </cell>
          <cell r="AP1144">
            <v>102586492</v>
          </cell>
        </row>
        <row r="1145">
          <cell r="AE1145" t="str">
            <v>01 - RENOVADA</v>
          </cell>
          <cell r="AP1145">
            <v>220019462</v>
          </cell>
        </row>
        <row r="1146">
          <cell r="AE1146" t="str">
            <v>05 - ANULADA EN VIGENCIA</v>
          </cell>
          <cell r="AP1146">
            <v>16655921</v>
          </cell>
        </row>
        <row r="1147">
          <cell r="AE1147" t="str">
            <v>01 - RENOVADA</v>
          </cell>
          <cell r="AP1147">
            <v>2008784441</v>
          </cell>
        </row>
        <row r="1148">
          <cell r="AE1148" t="str">
            <v>05 - ANULADA EN VIGENCIA</v>
          </cell>
          <cell r="AP1148">
            <v>3012100016286</v>
          </cell>
        </row>
        <row r="1149">
          <cell r="AE1149" t="str">
            <v>05 - ANULADA EN VIGENCIA</v>
          </cell>
          <cell r="AP1149">
            <v>1362807</v>
          </cell>
        </row>
        <row r="1150">
          <cell r="AE1150" t="str">
            <v>05 - ANULADA EN VIGENCIA</v>
          </cell>
          <cell r="AP1150">
            <v>1462651</v>
          </cell>
        </row>
        <row r="1151">
          <cell r="AE1151" t="str">
            <v>05 - ANULADA EN VIGENCIA</v>
          </cell>
          <cell r="AP1151">
            <v>3010511700012</v>
          </cell>
        </row>
        <row r="1152">
          <cell r="AE1152" t="str">
            <v>05 - ANULADA EN VIGENCIA</v>
          </cell>
          <cell r="AP1152">
            <v>2010774301</v>
          </cell>
        </row>
        <row r="1153">
          <cell r="AE1153" t="str">
            <v>08 - VIGENCIA ANTERIOR</v>
          </cell>
          <cell r="AP1153">
            <v>1010329</v>
          </cell>
        </row>
        <row r="1154">
          <cell r="AE1154" t="str">
            <v>01 - RENOVADA</v>
          </cell>
          <cell r="AP1154">
            <v>1483679</v>
          </cell>
        </row>
        <row r="1155">
          <cell r="AE1155" t="str">
            <v>05 - ANULADA EN VIGENCIA</v>
          </cell>
          <cell r="AP1155">
            <v>2010385052</v>
          </cell>
        </row>
        <row r="1156">
          <cell r="AE1156" t="str">
            <v>08 - VIGENCIA ANTERIOR</v>
          </cell>
          <cell r="AP1156">
            <v>1073721</v>
          </cell>
        </row>
        <row r="1157">
          <cell r="AE1157" t="str">
            <v>08 - VIGENCIA ANTERIOR</v>
          </cell>
          <cell r="AP1157">
            <v>1279964</v>
          </cell>
        </row>
        <row r="1158">
          <cell r="AE1158" t="str">
            <v>04 - NO RENOVADA</v>
          </cell>
          <cell r="AP1158">
            <v>1363919</v>
          </cell>
        </row>
        <row r="1159">
          <cell r="AE1159" t="str">
            <v>01 - RENOVADA</v>
          </cell>
          <cell r="AP1159">
            <v>2009849978</v>
          </cell>
        </row>
        <row r="1160">
          <cell r="AE1160" t="str">
            <v>05 - ANULADA EN VIGENCIA</v>
          </cell>
          <cell r="AP1160">
            <v>2005496210</v>
          </cell>
        </row>
        <row r="1161">
          <cell r="AE1161" t="str">
            <v>05 - ANULADA EN VIGENCIA</v>
          </cell>
          <cell r="AP1161">
            <v>95915</v>
          </cell>
        </row>
        <row r="1162">
          <cell r="AE1162" t="str">
            <v>08 - VIGENCIA ANTERIOR</v>
          </cell>
          <cell r="AP1162">
            <v>1308738</v>
          </cell>
        </row>
        <row r="1163">
          <cell r="AE1163" t="str">
            <v>03 - PENDIENTE</v>
          </cell>
          <cell r="AP1163">
            <v>1475772</v>
          </cell>
        </row>
        <row r="1164">
          <cell r="AE1164" t="str">
            <v>08 - VIGENCIA ANTERIOR</v>
          </cell>
          <cell r="AP1164">
            <v>1106882</v>
          </cell>
        </row>
        <row r="1165">
          <cell r="AE1165" t="str">
            <v>08 - VIGENCIA ANTERIOR</v>
          </cell>
          <cell r="AP1165">
            <v>1304193</v>
          </cell>
        </row>
        <row r="1166">
          <cell r="AE1166" t="str">
            <v>05 - ANULADA EN VIGENCIA</v>
          </cell>
          <cell r="AP1166">
            <v>1475826</v>
          </cell>
        </row>
        <row r="1167">
          <cell r="AE1167" t="str">
            <v>01 - RENOVADA</v>
          </cell>
          <cell r="AP1167">
            <v>2009750521</v>
          </cell>
        </row>
        <row r="1168">
          <cell r="AE1168" t="str">
            <v>08 - VIGENCIA ANTERIOR</v>
          </cell>
          <cell r="AP1168">
            <v>1012898</v>
          </cell>
        </row>
        <row r="1169">
          <cell r="AE1169" t="str">
            <v>01 - RENOVADA</v>
          </cell>
          <cell r="AP1169">
            <v>1483647</v>
          </cell>
        </row>
        <row r="1170">
          <cell r="AE1170" t="str">
            <v>08 - VIGENCIA ANTERIOR</v>
          </cell>
          <cell r="AP1170">
            <v>1059997</v>
          </cell>
        </row>
        <row r="1171">
          <cell r="AE1171" t="str">
            <v>08 - VIGENCIA ANTERIOR</v>
          </cell>
          <cell r="AP1171">
            <v>1062794</v>
          </cell>
        </row>
        <row r="1172">
          <cell r="AE1172" t="str">
            <v>05 - ANULADA EN VIGENCIA</v>
          </cell>
          <cell r="AP1172">
            <v>1266036</v>
          </cell>
        </row>
        <row r="1173">
          <cell r="AE1173" t="str">
            <v>05 - ANULADA EN VIGENCIA</v>
          </cell>
          <cell r="AP1173">
            <v>2006784522</v>
          </cell>
        </row>
        <row r="1174">
          <cell r="AE1174" t="str">
            <v>05 - ANULADA EN VIGENCIA</v>
          </cell>
          <cell r="AP1174">
            <v>508963</v>
          </cell>
        </row>
        <row r="1175">
          <cell r="AE1175" t="str">
            <v>01 - RENOVADA</v>
          </cell>
          <cell r="AP1175">
            <v>1532665</v>
          </cell>
        </row>
        <row r="1176">
          <cell r="AE1176" t="str">
            <v>01 - RENOVADA</v>
          </cell>
          <cell r="AP1176">
            <v>70238556</v>
          </cell>
        </row>
        <row r="1177">
          <cell r="AE1177" t="str">
            <v>01 - RENOVADA</v>
          </cell>
          <cell r="AP1177">
            <v>70206469</v>
          </cell>
        </row>
        <row r="1178">
          <cell r="AE1178" t="str">
            <v>05 - ANULADA EN VIGENCIA</v>
          </cell>
          <cell r="AP1178">
            <v>1073732</v>
          </cell>
        </row>
        <row r="1179">
          <cell r="AE1179" t="str">
            <v>05 - ANULADA EN VIGENCIA</v>
          </cell>
          <cell r="AP1179">
            <v>1086420</v>
          </cell>
        </row>
        <row r="1180">
          <cell r="AE1180" t="str">
            <v>05 - ANULADA EN VIGENCIA</v>
          </cell>
          <cell r="AP1180">
            <v>1279908</v>
          </cell>
        </row>
        <row r="1181">
          <cell r="AE1181" t="str">
            <v>08 - VIGENCIA ANTERIOR</v>
          </cell>
          <cell r="AP1181">
            <v>2007507043</v>
          </cell>
        </row>
        <row r="1182">
          <cell r="AE1182" t="str">
            <v>05 - ANULADA EN VIGENCIA</v>
          </cell>
          <cell r="AP1182">
            <v>2008797324</v>
          </cell>
        </row>
        <row r="1183">
          <cell r="AE1183" t="str">
            <v>01 - RENOVADA</v>
          </cell>
          <cell r="AP1183">
            <v>70240992</v>
          </cell>
        </row>
        <row r="1184">
          <cell r="AE1184" t="str">
            <v>05 - ANULADA EN VIGENCIA</v>
          </cell>
          <cell r="AP1184">
            <v>70140025</v>
          </cell>
        </row>
        <row r="1185">
          <cell r="AE1185" t="str">
            <v>01 - RENOVADA</v>
          </cell>
          <cell r="AP1185">
            <v>70211296</v>
          </cell>
        </row>
        <row r="1186">
          <cell r="AE1186" t="str">
            <v>05 - ANULADA EN VIGENCIA</v>
          </cell>
          <cell r="AP1186">
            <v>2004432280</v>
          </cell>
        </row>
        <row r="1187">
          <cell r="AE1187" t="str">
            <v>05 - ANULADA EN VIGENCIA</v>
          </cell>
          <cell r="AP1187">
            <v>15663408</v>
          </cell>
        </row>
        <row r="1188">
          <cell r="AE1188" t="str">
            <v>05 - ANULADA EN VIGENCIA</v>
          </cell>
          <cell r="AP1188">
            <v>2004612538</v>
          </cell>
        </row>
        <row r="1189">
          <cell r="AE1189" t="str">
            <v>04 - NO RENOVADA</v>
          </cell>
          <cell r="AP1189">
            <v>35908</v>
          </cell>
        </row>
        <row r="1190">
          <cell r="AE1190" t="str">
            <v>05 - ANULADA EN VIGENCIA</v>
          </cell>
          <cell r="AP1190">
            <v>70169456</v>
          </cell>
        </row>
        <row r="1191">
          <cell r="AE1191" t="str">
            <v>04 - NO RENOVADA</v>
          </cell>
          <cell r="AP1191">
            <v>14470753</v>
          </cell>
        </row>
        <row r="1192">
          <cell r="AE1192" t="str">
            <v>01 - RENOVADA</v>
          </cell>
          <cell r="AP1192">
            <v>1256331</v>
          </cell>
        </row>
        <row r="1193">
          <cell r="AE1193" t="str">
            <v>05 - ANULADA EN VIGENCIA</v>
          </cell>
          <cell r="AP1193">
            <v>2004381763</v>
          </cell>
        </row>
        <row r="1194">
          <cell r="AE1194" t="str">
            <v>08 - VIGENCIA ANTERIOR</v>
          </cell>
          <cell r="AP1194">
            <v>1079952</v>
          </cell>
        </row>
        <row r="1195">
          <cell r="AE1195" t="str">
            <v>08 - VIGENCIA ANTERIOR</v>
          </cell>
          <cell r="AP1195">
            <v>1279250</v>
          </cell>
        </row>
        <row r="1196">
          <cell r="AE1196" t="str">
            <v>05 - ANULADA EN VIGENCIA</v>
          </cell>
          <cell r="AP1196">
            <v>1563106</v>
          </cell>
        </row>
        <row r="1197">
          <cell r="AE1197" t="str">
            <v>08 - VIGENCIA ANTERIOR</v>
          </cell>
          <cell r="AP1197">
            <v>2004799121</v>
          </cell>
        </row>
        <row r="1198">
          <cell r="AE1198" t="str">
            <v>05 - ANULADA EN VIGENCIA</v>
          </cell>
          <cell r="AP1198">
            <v>2010077474</v>
          </cell>
        </row>
        <row r="1199">
          <cell r="AE1199" t="str">
            <v>05 - ANULADA EN VIGENCIA</v>
          </cell>
          <cell r="AP1199">
            <v>87704</v>
          </cell>
        </row>
        <row r="1200">
          <cell r="AE1200" t="str">
            <v>05 - ANULADA EN VIGENCIA</v>
          </cell>
          <cell r="AP1200">
            <v>2003805298</v>
          </cell>
        </row>
        <row r="1201">
          <cell r="AE1201" t="str">
            <v>05 - ANULADA EN VIGENCIA</v>
          </cell>
          <cell r="AP1201">
            <v>2003805781</v>
          </cell>
        </row>
        <row r="1202">
          <cell r="AE1202" t="str">
            <v>08 - VIGENCIA ANTERIOR</v>
          </cell>
          <cell r="AP1202">
            <v>1016723</v>
          </cell>
        </row>
        <row r="1203">
          <cell r="AE1203" t="str">
            <v>08 - VIGENCIA ANTERIOR</v>
          </cell>
          <cell r="AP1203">
            <v>1408804</v>
          </cell>
        </row>
        <row r="1204">
          <cell r="AE1204" t="str">
            <v>01 - RENOVADA</v>
          </cell>
          <cell r="AP1204">
            <v>1510672</v>
          </cell>
        </row>
        <row r="1205">
          <cell r="AE1205" t="str">
            <v>05 - ANULADA EN VIGENCIA</v>
          </cell>
          <cell r="AP1205">
            <v>2005802730</v>
          </cell>
        </row>
        <row r="1206">
          <cell r="AE1206" t="str">
            <v>05 - ANULADA EN VIGENCIA</v>
          </cell>
          <cell r="AP1206">
            <v>2003730307</v>
          </cell>
        </row>
        <row r="1207">
          <cell r="AE1207" t="str">
            <v>05 - ANULADA EN VIGENCIA</v>
          </cell>
          <cell r="AP1207">
            <v>2003044258</v>
          </cell>
        </row>
        <row r="1208">
          <cell r="AE1208" t="str">
            <v>01 - RENOVADA</v>
          </cell>
          <cell r="AP1208">
            <v>2010717025</v>
          </cell>
        </row>
        <row r="1209">
          <cell r="AE1209" t="str">
            <v>01 - RENOVADA</v>
          </cell>
          <cell r="AP1209">
            <v>2011102128</v>
          </cell>
        </row>
        <row r="1210">
          <cell r="AE1210" t="str">
            <v>01 - RENOVADA</v>
          </cell>
          <cell r="AP1210">
            <v>16745245</v>
          </cell>
        </row>
        <row r="1211">
          <cell r="AE1211" t="str">
            <v>05 - ANULADA EN VIGENCIA</v>
          </cell>
          <cell r="AP1211">
            <v>2926505</v>
          </cell>
        </row>
        <row r="1212">
          <cell r="AE1212" t="str">
            <v>05 - ANULADA EN VIGENCIA</v>
          </cell>
          <cell r="AP1212">
            <v>16671852</v>
          </cell>
        </row>
        <row r="1213">
          <cell r="AE1213" t="str">
            <v>08 - VIGENCIA ANTERIOR</v>
          </cell>
          <cell r="AP1213">
            <v>2006627156</v>
          </cell>
        </row>
        <row r="1214">
          <cell r="AE1214" t="str">
            <v>01 - RENOVADA</v>
          </cell>
          <cell r="AP1214">
            <v>2009404532</v>
          </cell>
        </row>
        <row r="1215">
          <cell r="AE1215" t="str">
            <v>05 - ANULADA EN VIGENCIA</v>
          </cell>
          <cell r="AP1215">
            <v>2008501316</v>
          </cell>
        </row>
        <row r="1216">
          <cell r="AE1216" t="str">
            <v>01 - RENOVADA</v>
          </cell>
          <cell r="AP1216">
            <v>2008501310</v>
          </cell>
        </row>
        <row r="1217">
          <cell r="AE1217" t="str">
            <v>01 - RENOVADA</v>
          </cell>
          <cell r="AP1217">
            <v>2008501321</v>
          </cell>
        </row>
        <row r="1218">
          <cell r="AE1218" t="str">
            <v>05 - ANULADA EN VIGENCIA</v>
          </cell>
          <cell r="AP1218">
            <v>2008695598</v>
          </cell>
        </row>
        <row r="1219">
          <cell r="AE1219" t="str">
            <v>01 - RENOVADA</v>
          </cell>
          <cell r="AP1219">
            <v>2010732319</v>
          </cell>
        </row>
        <row r="1220">
          <cell r="AE1220" t="str">
            <v>01 - RENOVADA</v>
          </cell>
          <cell r="AP1220">
            <v>17007365</v>
          </cell>
        </row>
        <row r="1221">
          <cell r="AE1221" t="str">
            <v>01 - RENOVADA</v>
          </cell>
          <cell r="AP1221">
            <v>2008798022</v>
          </cell>
        </row>
        <row r="1222">
          <cell r="AE1222" t="str">
            <v>04 - NO RENOVADA</v>
          </cell>
          <cell r="AP1222">
            <v>2006254081</v>
          </cell>
        </row>
        <row r="1223">
          <cell r="AE1223" t="str">
            <v>05 - ANULADA EN VIGENCIA</v>
          </cell>
          <cell r="AP1223">
            <v>53615</v>
          </cell>
        </row>
        <row r="1224">
          <cell r="AE1224" t="str">
            <v>01 - RENOVADA</v>
          </cell>
          <cell r="AP1224">
            <v>70198062</v>
          </cell>
        </row>
        <row r="1225">
          <cell r="AE1225" t="str">
            <v>05 - ANULADA EN VIGENCIA</v>
          </cell>
          <cell r="AP1225">
            <v>70172936</v>
          </cell>
        </row>
        <row r="1226">
          <cell r="AE1226" t="str">
            <v>05 - ANULADA EN VIGENCIA</v>
          </cell>
          <cell r="AP1226">
            <v>997350</v>
          </cell>
        </row>
        <row r="1227">
          <cell r="AE1227" t="str">
            <v>08 - VIGENCIA ANTERIOR</v>
          </cell>
          <cell r="AP1227">
            <v>2003347969</v>
          </cell>
        </row>
        <row r="1228">
          <cell r="AE1228" t="str">
            <v>01 - RENOVADA</v>
          </cell>
          <cell r="AP1228">
            <v>2009404279</v>
          </cell>
        </row>
        <row r="1229">
          <cell r="AE1229" t="str">
            <v>05 - ANULADA EN VIGENCIA</v>
          </cell>
          <cell r="AP1229">
            <v>2006923501</v>
          </cell>
        </row>
        <row r="1230">
          <cell r="AE1230" t="str">
            <v>01 - RENOVADA</v>
          </cell>
          <cell r="AP1230">
            <v>2008797355</v>
          </cell>
        </row>
        <row r="1231">
          <cell r="AE1231" t="str">
            <v>04 - NO RENOVADA</v>
          </cell>
          <cell r="AP1231">
            <v>2008644105</v>
          </cell>
        </row>
        <row r="1232">
          <cell r="AE1232" t="str">
            <v>05 - ANULADA EN VIGENCIA</v>
          </cell>
          <cell r="AP1232">
            <v>766743</v>
          </cell>
        </row>
        <row r="1233">
          <cell r="AE1233" t="str">
            <v>05 - ANULADA EN VIGENCIA</v>
          </cell>
          <cell r="AP1233">
            <v>1119751</v>
          </cell>
        </row>
        <row r="1234">
          <cell r="AE1234" t="str">
            <v>05 - ANULADA EN VIGENCIA</v>
          </cell>
          <cell r="AP1234">
            <v>997346</v>
          </cell>
        </row>
        <row r="1235">
          <cell r="AE1235" t="str">
            <v>03 - PENDIENTE</v>
          </cell>
          <cell r="AP1235">
            <v>1482897</v>
          </cell>
        </row>
        <row r="1236">
          <cell r="AE1236" t="str">
            <v>05 - ANULADA EN VIGENCIA</v>
          </cell>
          <cell r="AP1236">
            <v>1096217</v>
          </cell>
        </row>
        <row r="1237">
          <cell r="AE1237" t="str">
            <v>04 - NO RENOVADA</v>
          </cell>
          <cell r="AP1237">
            <v>1059978</v>
          </cell>
        </row>
        <row r="1238">
          <cell r="AE1238" t="str">
            <v>05 - ANULADA EN VIGENCIA</v>
          </cell>
          <cell r="AP1238">
            <v>1269400</v>
          </cell>
        </row>
        <row r="1239">
          <cell r="AE1239" t="str">
            <v>04 - NO RENOVADA</v>
          </cell>
          <cell r="AP1239">
            <v>2003132062</v>
          </cell>
        </row>
        <row r="1240">
          <cell r="AE1240" t="str">
            <v>01 - RENOVADA</v>
          </cell>
          <cell r="AP1240">
            <v>2011515316</v>
          </cell>
        </row>
        <row r="1241">
          <cell r="AE1241" t="str">
            <v>01 - RENOVADA</v>
          </cell>
          <cell r="AP1241">
            <v>2011515257</v>
          </cell>
        </row>
        <row r="1242">
          <cell r="AE1242" t="str">
            <v>05 - ANULADA EN VIGENCIA</v>
          </cell>
          <cell r="AP1242">
            <v>1425634</v>
          </cell>
        </row>
        <row r="1243">
          <cell r="AE1243" t="str">
            <v>05 - ANULADA EN VIGENCIA</v>
          </cell>
          <cell r="AP1243">
            <v>1096274</v>
          </cell>
        </row>
        <row r="1244">
          <cell r="AE1244" t="str">
            <v>08 - VIGENCIA ANTERIOR</v>
          </cell>
          <cell r="AP1244">
            <v>1295087</v>
          </cell>
        </row>
        <row r="1245">
          <cell r="AE1245" t="str">
            <v>05 - ANULADA EN VIGENCIA</v>
          </cell>
          <cell r="AP1245">
            <v>1462644</v>
          </cell>
        </row>
        <row r="1246">
          <cell r="AE1246" t="str">
            <v>05 - ANULADA EN VIGENCIA</v>
          </cell>
          <cell r="AP1246">
            <v>2003545857</v>
          </cell>
        </row>
        <row r="1247">
          <cell r="AE1247" t="str">
            <v>01 - RENOVADA</v>
          </cell>
          <cell r="AP1247">
            <v>1519922</v>
          </cell>
        </row>
        <row r="1248">
          <cell r="AE1248" t="str">
            <v>01 - RENOVADA</v>
          </cell>
          <cell r="AP1248">
            <v>43899</v>
          </cell>
        </row>
        <row r="1249">
          <cell r="AE1249" t="str">
            <v>05 - ANULADA EN VIGENCIA</v>
          </cell>
          <cell r="AP1249">
            <v>49877</v>
          </cell>
        </row>
        <row r="1250">
          <cell r="AE1250" t="str">
            <v>04 - NO RENOVADA</v>
          </cell>
          <cell r="AP1250">
            <v>3197179</v>
          </cell>
        </row>
        <row r="1251">
          <cell r="AE1251" t="str">
            <v>01 - RENOVADA</v>
          </cell>
          <cell r="AP1251">
            <v>71540</v>
          </cell>
        </row>
        <row r="1252">
          <cell r="AE1252" t="str">
            <v>01 - RENOVADA</v>
          </cell>
          <cell r="AP1252">
            <v>44056</v>
          </cell>
        </row>
        <row r="1253">
          <cell r="AE1253" t="str">
            <v>01 - RENOVADA</v>
          </cell>
          <cell r="AP1253">
            <v>70229393</v>
          </cell>
        </row>
        <row r="1254">
          <cell r="AE1254" t="str">
            <v>01 - RENOVADA</v>
          </cell>
          <cell r="AP1254">
            <v>70238580</v>
          </cell>
        </row>
        <row r="1255">
          <cell r="AE1255" t="str">
            <v>07 - DEVUELTO A AON</v>
          </cell>
          <cell r="AP1255">
            <v>1240923</v>
          </cell>
        </row>
        <row r="1256">
          <cell r="AE1256" t="str">
            <v>08 - VIGENCIA ANTERIOR</v>
          </cell>
          <cell r="AP1256">
            <v>954142</v>
          </cell>
        </row>
        <row r="1257">
          <cell r="AE1257" t="str">
            <v>08 - VIGENCIA ANTERIOR</v>
          </cell>
          <cell r="AP1257">
            <v>1260311</v>
          </cell>
        </row>
        <row r="1258">
          <cell r="AE1258" t="str">
            <v>08 - VIGENCIA ANTERIOR</v>
          </cell>
          <cell r="AP1258">
            <v>1262546</v>
          </cell>
        </row>
        <row r="1259">
          <cell r="AE1259" t="str">
            <v>05 - ANULADA EN VIGENCIA</v>
          </cell>
          <cell r="AP1259">
            <v>1354849</v>
          </cell>
        </row>
        <row r="1260">
          <cell r="AE1260" t="str">
            <v>05 - ANULADA EN VIGENCIA</v>
          </cell>
          <cell r="AP1260">
            <v>59795</v>
          </cell>
        </row>
        <row r="1261">
          <cell r="AE1261" t="str">
            <v>01 - RENOVADA</v>
          </cell>
          <cell r="AP1261" t="str">
            <v>E0028438</v>
          </cell>
        </row>
        <row r="1262">
          <cell r="AE1262" t="str">
            <v>05 - ANULADA EN VIGENCIA</v>
          </cell>
          <cell r="AP1262">
            <v>57937</v>
          </cell>
        </row>
        <row r="1263">
          <cell r="AE1263" t="str">
            <v>08 - VIGENCIA ANTERIOR</v>
          </cell>
          <cell r="AP1263">
            <v>1029974</v>
          </cell>
        </row>
        <row r="1264">
          <cell r="AE1264" t="str">
            <v>01 - RENOVADA</v>
          </cell>
          <cell r="AP1264">
            <v>1414534</v>
          </cell>
        </row>
        <row r="1265">
          <cell r="AE1265" t="str">
            <v>01 - RENOVADA</v>
          </cell>
          <cell r="AP1265">
            <v>70238561</v>
          </cell>
        </row>
        <row r="1266">
          <cell r="AE1266" t="str">
            <v>05 - ANULADA EN VIGENCIA</v>
          </cell>
          <cell r="AP1266">
            <v>15882028</v>
          </cell>
        </row>
        <row r="1267">
          <cell r="AE1267" t="str">
            <v>05 - ANULADA EN VIGENCIA</v>
          </cell>
          <cell r="AP1267">
            <v>2009499476</v>
          </cell>
        </row>
        <row r="1268">
          <cell r="AE1268" t="str">
            <v>05 - ANULADA EN VIGENCIA</v>
          </cell>
          <cell r="AP1268">
            <v>1408136</v>
          </cell>
        </row>
        <row r="1269">
          <cell r="AE1269" t="str">
            <v>04 - NO RENOVADA</v>
          </cell>
          <cell r="AP1269">
            <v>69293</v>
          </cell>
        </row>
        <row r="1270">
          <cell r="AE1270" t="str">
            <v>04 - NO RENOVADA</v>
          </cell>
          <cell r="AP1270">
            <v>1069293</v>
          </cell>
        </row>
        <row r="1271">
          <cell r="AE1271" t="str">
            <v>04 - NO RENOVADA</v>
          </cell>
          <cell r="AP1271">
            <v>1279194</v>
          </cell>
        </row>
        <row r="1272">
          <cell r="AE1272" t="str">
            <v>01 - RENOVADA</v>
          </cell>
          <cell r="AP1272">
            <v>1547966</v>
          </cell>
        </row>
        <row r="1273">
          <cell r="AE1273" t="str">
            <v>05 - ANULADA EN VIGENCIA</v>
          </cell>
          <cell r="AP1273">
            <v>655455</v>
          </cell>
        </row>
        <row r="1274">
          <cell r="AE1274" t="str">
            <v>05 - ANULADA EN VIGENCIA</v>
          </cell>
          <cell r="AP1274">
            <v>39978</v>
          </cell>
        </row>
        <row r="1275">
          <cell r="AE1275" t="str">
            <v>05 - ANULADA EN VIGENCIA</v>
          </cell>
          <cell r="AP1275">
            <v>2009004763</v>
          </cell>
        </row>
        <row r="1276">
          <cell r="AE1276" t="str">
            <v>05 - ANULADA EN VIGENCIA</v>
          </cell>
          <cell r="AP1276">
            <v>2010016419</v>
          </cell>
        </row>
        <row r="1277">
          <cell r="AE1277" t="str">
            <v>05 - ANULADA EN VIGENCIA</v>
          </cell>
          <cell r="AP1277">
            <v>2004467975</v>
          </cell>
        </row>
        <row r="1278">
          <cell r="AE1278" t="str">
            <v>05 - ANULADA EN VIGENCIA</v>
          </cell>
          <cell r="AP1278">
            <v>1439704</v>
          </cell>
        </row>
        <row r="1279">
          <cell r="AE1279" t="str">
            <v>08 - VIGENCIA ANTERIOR</v>
          </cell>
          <cell r="AP1279">
            <v>1091533</v>
          </cell>
        </row>
        <row r="1280">
          <cell r="AE1280" t="str">
            <v>08 - VIGENCIA ANTERIOR</v>
          </cell>
          <cell r="AP1280">
            <v>1298690</v>
          </cell>
        </row>
        <row r="1281">
          <cell r="AE1281" t="str">
            <v>01 - RENOVADA</v>
          </cell>
          <cell r="AP1281">
            <v>1578451</v>
          </cell>
        </row>
        <row r="1282">
          <cell r="AE1282" t="str">
            <v>05 - ANULADA EN VIGENCIA</v>
          </cell>
          <cell r="AP1282" t="str">
            <v>E0026598</v>
          </cell>
        </row>
        <row r="1283">
          <cell r="AE1283" t="str">
            <v>08 - VIGENCIA ANTERIOR</v>
          </cell>
          <cell r="AP1283">
            <v>2005133391</v>
          </cell>
        </row>
        <row r="1284">
          <cell r="AE1284" t="str">
            <v>08 - VIGENCIA ANTERIOR</v>
          </cell>
          <cell r="AP1284">
            <v>2007882291</v>
          </cell>
        </row>
        <row r="1285">
          <cell r="AE1285" t="str">
            <v>03 - PENDIENTE</v>
          </cell>
          <cell r="AP1285">
            <v>2009004614</v>
          </cell>
        </row>
        <row r="1286">
          <cell r="AE1286" t="str">
            <v>05 - ANULADA EN VIGENCIA</v>
          </cell>
          <cell r="AP1286">
            <v>2005410973</v>
          </cell>
        </row>
        <row r="1287">
          <cell r="AE1287" t="str">
            <v>05 - ANULADA EN VIGENCIA</v>
          </cell>
          <cell r="AP1287">
            <v>2004712805</v>
          </cell>
        </row>
        <row r="1288">
          <cell r="AE1288" t="str">
            <v>05 - ANULADA EN VIGENCIA</v>
          </cell>
          <cell r="AP1288">
            <v>2004790091</v>
          </cell>
        </row>
        <row r="1289">
          <cell r="AE1289" t="str">
            <v>05 - ANULADA EN VIGENCIA</v>
          </cell>
          <cell r="AP1289">
            <v>2003140137</v>
          </cell>
        </row>
        <row r="1290">
          <cell r="AE1290" t="str">
            <v>05 - ANULADA EN VIGENCIA</v>
          </cell>
          <cell r="AP1290">
            <v>2004937483</v>
          </cell>
        </row>
        <row r="1291">
          <cell r="AE1291" t="str">
            <v>08 - VIGENCIA ANTERIOR</v>
          </cell>
          <cell r="AP1291">
            <v>1085746</v>
          </cell>
        </row>
        <row r="1292">
          <cell r="AE1292" t="str">
            <v>08 - VIGENCIA ANTERIOR</v>
          </cell>
          <cell r="AP1292">
            <v>1279209</v>
          </cell>
        </row>
        <row r="1293">
          <cell r="AE1293" t="str">
            <v>05 - ANULADA EN VIGENCIA</v>
          </cell>
          <cell r="AP1293">
            <v>1458514</v>
          </cell>
        </row>
        <row r="1294">
          <cell r="AE1294" t="str">
            <v>08 - VIGENCIA ANTERIOR</v>
          </cell>
          <cell r="AP1294">
            <v>1069622</v>
          </cell>
        </row>
        <row r="1295">
          <cell r="AE1295" t="str">
            <v>08 - VIGENCIA ANTERIOR</v>
          </cell>
          <cell r="AP1295">
            <v>1279926</v>
          </cell>
        </row>
        <row r="1296">
          <cell r="AE1296" t="str">
            <v>05 - ANULADA EN VIGENCIA</v>
          </cell>
          <cell r="AP1296">
            <v>1365262</v>
          </cell>
        </row>
        <row r="1297">
          <cell r="AE1297" t="str">
            <v>04 - NO RENOVADA</v>
          </cell>
          <cell r="AP1297">
            <v>2004741336</v>
          </cell>
        </row>
        <row r="1298">
          <cell r="AE1298" t="str">
            <v>04 - NO RENOVADA</v>
          </cell>
          <cell r="AP1298">
            <v>2004741549</v>
          </cell>
        </row>
        <row r="1299">
          <cell r="AE1299" t="str">
            <v>05 - ANULADA EN VIGENCIA</v>
          </cell>
          <cell r="AP1299">
            <v>2008791457</v>
          </cell>
        </row>
        <row r="1300">
          <cell r="AE1300" t="str">
            <v>03 - PENDIENTE</v>
          </cell>
          <cell r="AP1300">
            <v>70244593</v>
          </cell>
        </row>
        <row r="1301">
          <cell r="AE1301" t="str">
            <v>05 - ANULADA EN VIGENCIA</v>
          </cell>
          <cell r="AP1301">
            <v>70196130</v>
          </cell>
        </row>
        <row r="1302">
          <cell r="AE1302" t="str">
            <v>03 - PENDIENTE</v>
          </cell>
          <cell r="AP1302">
            <v>126593710</v>
          </cell>
        </row>
        <row r="1303">
          <cell r="AE1303" t="str">
            <v>04 - NO RENOVADA</v>
          </cell>
          <cell r="AP1303">
            <v>55174</v>
          </cell>
        </row>
        <row r="1304">
          <cell r="AE1304" t="str">
            <v>05 - ANULADA EN VIGENCIA</v>
          </cell>
          <cell r="AP1304">
            <v>1028770</v>
          </cell>
        </row>
        <row r="1305">
          <cell r="AE1305" t="str">
            <v>05 - ANULADA EN VIGENCIA</v>
          </cell>
          <cell r="AP1305">
            <v>1234097</v>
          </cell>
        </row>
        <row r="1306">
          <cell r="AE1306" t="str">
            <v>05 - ANULADA EN VIGENCIA</v>
          </cell>
          <cell r="AP1306">
            <v>997339</v>
          </cell>
        </row>
        <row r="1307">
          <cell r="AE1307" t="str">
            <v>03 - PENDIENTE</v>
          </cell>
          <cell r="AP1307">
            <v>1492620</v>
          </cell>
        </row>
        <row r="1308">
          <cell r="AE1308" t="str">
            <v>05 - ANULADA EN VIGENCIA</v>
          </cell>
          <cell r="AP1308">
            <v>1418768</v>
          </cell>
        </row>
        <row r="1309">
          <cell r="AE1309" t="str">
            <v>04 - NO RENOVADA</v>
          </cell>
          <cell r="AP1309">
            <v>102369819</v>
          </cell>
        </row>
        <row r="1310">
          <cell r="AE1310" t="str">
            <v>07 - DEVUELTO A AON</v>
          </cell>
          <cell r="AP1310">
            <v>1296187</v>
          </cell>
        </row>
        <row r="1311">
          <cell r="AE1311" t="str">
            <v>05 - ANULADA EN VIGENCIA</v>
          </cell>
          <cell r="AP1311">
            <v>2010774247</v>
          </cell>
        </row>
        <row r="1312">
          <cell r="AE1312" t="str">
            <v>05 - ANULADA EN VIGENCIA</v>
          </cell>
          <cell r="AP1312">
            <v>2010778813</v>
          </cell>
        </row>
        <row r="1313">
          <cell r="AE1313" t="str">
            <v>05 - ANULADA EN VIGENCIA</v>
          </cell>
          <cell r="AP1313">
            <v>2010779143</v>
          </cell>
        </row>
        <row r="1314">
          <cell r="AE1314" t="str">
            <v>05 - ANULADA EN VIGENCIA</v>
          </cell>
          <cell r="AP1314">
            <v>1078898</v>
          </cell>
        </row>
        <row r="1315">
          <cell r="AE1315" t="str">
            <v>05 - ANULADA EN VIGENCIA</v>
          </cell>
          <cell r="AP1315">
            <v>1294199</v>
          </cell>
        </row>
        <row r="1316">
          <cell r="AE1316" t="str">
            <v>05 - ANULADA EN VIGENCIA</v>
          </cell>
          <cell r="AP1316">
            <v>1373412</v>
          </cell>
        </row>
        <row r="1317">
          <cell r="AE1317" t="str">
            <v>01 - RENOVADA</v>
          </cell>
          <cell r="AP1317">
            <v>2009751871</v>
          </cell>
        </row>
        <row r="1318">
          <cell r="AE1318" t="str">
            <v>05 - ANULADA EN VIGENCIA</v>
          </cell>
          <cell r="AP1318">
            <v>2008792306</v>
          </cell>
        </row>
        <row r="1319">
          <cell r="AE1319" t="str">
            <v>05 - ANULADA EN VIGENCIA</v>
          </cell>
          <cell r="AP1319">
            <v>1063594</v>
          </cell>
        </row>
        <row r="1320">
          <cell r="AE1320" t="str">
            <v>05 - ANULADA EN VIGENCIA</v>
          </cell>
          <cell r="AP1320">
            <v>1071878</v>
          </cell>
        </row>
        <row r="1321">
          <cell r="AE1321" t="str">
            <v>05 - ANULADA EN VIGENCIA</v>
          </cell>
          <cell r="AP1321">
            <v>1275061</v>
          </cell>
        </row>
        <row r="1322">
          <cell r="AE1322" t="str">
            <v>05 - ANULADA EN VIGENCIA</v>
          </cell>
          <cell r="AP1322">
            <v>1358928</v>
          </cell>
        </row>
        <row r="1323">
          <cell r="AE1323" t="str">
            <v>01 - RENOVADA</v>
          </cell>
          <cell r="AP1323">
            <v>2009494393</v>
          </cell>
        </row>
        <row r="1324">
          <cell r="AE1324" t="str">
            <v>05 - ANULADA EN VIGENCIA</v>
          </cell>
          <cell r="AP1324">
            <v>2003512954</v>
          </cell>
        </row>
        <row r="1325">
          <cell r="AE1325" t="str">
            <v>05 - ANULADA EN VIGENCIA</v>
          </cell>
          <cell r="AP1325">
            <v>2009562236</v>
          </cell>
        </row>
        <row r="1326">
          <cell r="AE1326" t="str">
            <v>04 - NO RENOVADA</v>
          </cell>
          <cell r="AP1326">
            <v>1071709</v>
          </cell>
        </row>
        <row r="1327">
          <cell r="AE1327" t="str">
            <v>04 - NO RENOVADA</v>
          </cell>
          <cell r="AP1327">
            <v>1272358</v>
          </cell>
        </row>
        <row r="1328">
          <cell r="AE1328" t="str">
            <v>01 - RENOVADA</v>
          </cell>
          <cell r="AP1328">
            <v>1547931</v>
          </cell>
        </row>
        <row r="1329">
          <cell r="AE1329" t="str">
            <v>05 - ANULADA EN VIGENCIA</v>
          </cell>
          <cell r="AP1329">
            <v>2006079810</v>
          </cell>
        </row>
        <row r="1330">
          <cell r="AE1330" t="str">
            <v>05 - ANULADA EN VIGENCIA</v>
          </cell>
          <cell r="AP1330">
            <v>70114493</v>
          </cell>
        </row>
        <row r="1331">
          <cell r="AE1331" t="str">
            <v>05 - ANULADA EN VIGENCIA</v>
          </cell>
          <cell r="AP1331">
            <v>70148582</v>
          </cell>
        </row>
        <row r="1332">
          <cell r="AE1332" t="str">
            <v>01 - RENOVADA</v>
          </cell>
          <cell r="AP1332">
            <v>69329</v>
          </cell>
        </row>
        <row r="1333">
          <cell r="AE1333" t="str">
            <v>05 - ANULADA EN VIGENCIA</v>
          </cell>
          <cell r="AP1333">
            <v>1235450</v>
          </cell>
        </row>
        <row r="1334">
          <cell r="AE1334" t="str">
            <v>05 - ANULADA EN VIGENCIA</v>
          </cell>
          <cell r="AP1334">
            <v>954405</v>
          </cell>
        </row>
        <row r="1335">
          <cell r="AE1335" t="str">
            <v>05 - ANULADA EN VIGENCIA</v>
          </cell>
          <cell r="AP1335">
            <v>440891</v>
          </cell>
        </row>
        <row r="1336">
          <cell r="AE1336" t="str">
            <v>05 - ANULADA EN VIGENCIA</v>
          </cell>
          <cell r="AP1336">
            <v>1002983</v>
          </cell>
        </row>
        <row r="1337">
          <cell r="AE1337" t="str">
            <v>01 - RENOVADA</v>
          </cell>
          <cell r="AP1337">
            <v>571204</v>
          </cell>
        </row>
        <row r="1338">
          <cell r="AE1338" t="str">
            <v>05 - ANULADA EN VIGENCIA</v>
          </cell>
          <cell r="AP1338">
            <v>1010945</v>
          </cell>
        </row>
        <row r="1339">
          <cell r="AE1339" t="str">
            <v>05 - ANULADA EN VIGENCIA</v>
          </cell>
          <cell r="AP1339">
            <v>1119321</v>
          </cell>
        </row>
        <row r="1340">
          <cell r="AE1340" t="str">
            <v>05 - ANULADA EN VIGENCIA</v>
          </cell>
          <cell r="AP1340">
            <v>16587261</v>
          </cell>
        </row>
        <row r="1341">
          <cell r="AE1341" t="str">
            <v>03 - PENDIENTE</v>
          </cell>
          <cell r="AP1341">
            <v>17128826</v>
          </cell>
        </row>
        <row r="1342">
          <cell r="AE1342" t="str">
            <v>05 - ANULADA EN VIGENCIA</v>
          </cell>
          <cell r="AP1342">
            <v>10299795</v>
          </cell>
        </row>
        <row r="1343">
          <cell r="AE1343" t="str">
            <v>01 - RENOVADA</v>
          </cell>
          <cell r="AP1343">
            <v>2009844142</v>
          </cell>
        </row>
        <row r="1344">
          <cell r="AE1344" t="str">
            <v>05 - ANULADA EN VIGENCIA</v>
          </cell>
          <cell r="AP1344">
            <v>984490</v>
          </cell>
        </row>
        <row r="1345">
          <cell r="AE1345" t="str">
            <v>05 - ANULADA EN VIGENCIA</v>
          </cell>
          <cell r="AP1345">
            <v>1097005</v>
          </cell>
        </row>
        <row r="1346">
          <cell r="AE1346" t="str">
            <v>05 - ANULADA EN VIGENCIA</v>
          </cell>
          <cell r="AP1346">
            <v>1301746</v>
          </cell>
        </row>
        <row r="1347">
          <cell r="AE1347" t="str">
            <v>08 - VIGENCIA ANTERIOR</v>
          </cell>
          <cell r="AP1347">
            <v>2005276822</v>
          </cell>
        </row>
        <row r="1348">
          <cell r="AE1348" t="str">
            <v>01 - RENOVADA</v>
          </cell>
          <cell r="AP1348">
            <v>2009404586</v>
          </cell>
        </row>
        <row r="1349">
          <cell r="AE1349" t="str">
            <v>01 - RENOVADA</v>
          </cell>
          <cell r="AP1349">
            <v>4049</v>
          </cell>
        </row>
        <row r="1350">
          <cell r="AE1350" t="str">
            <v>04 - NO RENOVADA</v>
          </cell>
          <cell r="AP1350">
            <v>2005028731</v>
          </cell>
        </row>
        <row r="1351">
          <cell r="AE1351" t="str">
            <v>04 - NO RENOVADA</v>
          </cell>
          <cell r="AP1351">
            <v>5109731578</v>
          </cell>
        </row>
        <row r="1352">
          <cell r="AE1352" t="str">
            <v>01 - RENOVADA</v>
          </cell>
          <cell r="AP1352">
            <v>2011280508</v>
          </cell>
        </row>
        <row r="1353">
          <cell r="AE1353" t="str">
            <v>05 - ANULADA EN VIGENCIA</v>
          </cell>
          <cell r="AP1353">
            <v>2009926838</v>
          </cell>
        </row>
        <row r="1354">
          <cell r="AE1354" t="str">
            <v>05 - ANULADA EN VIGENCIA</v>
          </cell>
          <cell r="AP1354">
            <v>16457312</v>
          </cell>
        </row>
        <row r="1355">
          <cell r="AE1355" t="str">
            <v>04 - NO RENOVADA</v>
          </cell>
          <cell r="AP1355">
            <v>3022200342451</v>
          </cell>
        </row>
        <row r="1356">
          <cell r="AE1356" t="str">
            <v>01 - RENOVADA</v>
          </cell>
          <cell r="AP1356">
            <v>70243468</v>
          </cell>
        </row>
        <row r="1357">
          <cell r="AE1357" t="str">
            <v>01 - RENOVADA</v>
          </cell>
          <cell r="AP1357">
            <v>2008792400</v>
          </cell>
        </row>
        <row r="1358">
          <cell r="AE1358" t="str">
            <v>08 - VIGENCIA ANTERIOR</v>
          </cell>
          <cell r="AP1358">
            <v>1073737</v>
          </cell>
        </row>
        <row r="1359">
          <cell r="AE1359" t="str">
            <v>01 - RENOVADA</v>
          </cell>
          <cell r="AP1359">
            <v>1571216</v>
          </cell>
        </row>
        <row r="1360">
          <cell r="AE1360" t="str">
            <v>05 - ANULADA EN VIGENCIA</v>
          </cell>
          <cell r="AP1360">
            <v>2009495329</v>
          </cell>
        </row>
        <row r="1361">
          <cell r="AE1361" t="str">
            <v>01 - RENOVADA</v>
          </cell>
          <cell r="AP1361">
            <v>3940585</v>
          </cell>
        </row>
        <row r="1362">
          <cell r="AE1362" t="str">
            <v>05 - ANULADA EN VIGENCIA</v>
          </cell>
          <cell r="AP1362">
            <v>2004042310</v>
          </cell>
        </row>
        <row r="1363">
          <cell r="AE1363" t="str">
            <v>05 - ANULADA EN VIGENCIA</v>
          </cell>
          <cell r="AP1363">
            <v>1070644</v>
          </cell>
        </row>
        <row r="1364">
          <cell r="AE1364" t="str">
            <v>05 - ANULADA EN VIGENCIA</v>
          </cell>
          <cell r="AP1364">
            <v>606419</v>
          </cell>
        </row>
        <row r="1365">
          <cell r="AE1365" t="str">
            <v>01 - RENOVADA</v>
          </cell>
          <cell r="AP1365">
            <v>328322</v>
          </cell>
        </row>
        <row r="1366">
          <cell r="AE1366" t="str">
            <v>05 - ANULADA EN VIGENCIA</v>
          </cell>
          <cell r="AP1366">
            <v>500027</v>
          </cell>
        </row>
        <row r="1367">
          <cell r="AE1367" t="str">
            <v>01 - RENOVADA</v>
          </cell>
          <cell r="AP1367">
            <v>2011104245</v>
          </cell>
        </row>
        <row r="1368">
          <cell r="AE1368" t="str">
            <v>04 - NO RENOVADA</v>
          </cell>
          <cell r="AP1368">
            <v>18832185</v>
          </cell>
        </row>
        <row r="1369">
          <cell r="AE1369" t="str">
            <v>01 - RENOVADA</v>
          </cell>
          <cell r="AP1369">
            <v>2009797534</v>
          </cell>
        </row>
        <row r="1370">
          <cell r="AE1370" t="str">
            <v>05 - ANULADA EN VIGENCIA</v>
          </cell>
          <cell r="AP1370">
            <v>70168825</v>
          </cell>
        </row>
        <row r="1371">
          <cell r="AE1371" t="str">
            <v>04 - NO RENOVADA</v>
          </cell>
          <cell r="AP1371">
            <v>2008593498</v>
          </cell>
        </row>
        <row r="1372">
          <cell r="AE1372" t="str">
            <v>01 - RENOVADA</v>
          </cell>
          <cell r="AP1372">
            <v>2008592556</v>
          </cell>
        </row>
        <row r="1373">
          <cell r="AE1373" t="str">
            <v>05 - ANULADA EN VIGENCIA</v>
          </cell>
          <cell r="AP1373">
            <v>2003998716</v>
          </cell>
        </row>
        <row r="1374">
          <cell r="AE1374" t="str">
            <v>01 - RENOVADA</v>
          </cell>
          <cell r="AP1374">
            <v>40022</v>
          </cell>
        </row>
        <row r="1375">
          <cell r="AE1375" t="str">
            <v>05 - ANULADA EN VIGENCIA</v>
          </cell>
          <cell r="AP1375">
            <v>2004741533</v>
          </cell>
        </row>
        <row r="1376">
          <cell r="AE1376" t="str">
            <v>04 - NO RENOVADA</v>
          </cell>
          <cell r="AP1376">
            <v>1059450</v>
          </cell>
        </row>
        <row r="1377">
          <cell r="AE1377" t="str">
            <v>01 - RENOVADA</v>
          </cell>
          <cell r="AP1377">
            <v>2010225436</v>
          </cell>
        </row>
        <row r="1378">
          <cell r="AE1378" t="str">
            <v>05 - ANULADA EN VIGENCIA</v>
          </cell>
          <cell r="AP1378">
            <v>2005265480</v>
          </cell>
        </row>
        <row r="1379">
          <cell r="AE1379" t="str">
            <v>08 - VIGENCIA ANTERIOR</v>
          </cell>
          <cell r="AP1379">
            <v>1276369</v>
          </cell>
        </row>
        <row r="1380">
          <cell r="AE1380" t="str">
            <v>01 - RENOVADA</v>
          </cell>
          <cell r="AP1380">
            <v>1547963</v>
          </cell>
        </row>
        <row r="1381">
          <cell r="AE1381" t="str">
            <v>03 - PENDIENTE</v>
          </cell>
          <cell r="AP1381">
            <v>15303791</v>
          </cell>
        </row>
        <row r="1382">
          <cell r="AE1382" t="str">
            <v>08 - VIGENCIA ANTERIOR</v>
          </cell>
          <cell r="AP1382">
            <v>1018916</v>
          </cell>
        </row>
        <row r="1383">
          <cell r="AE1383" t="str">
            <v>01 - RENOVADA</v>
          </cell>
          <cell r="AP1383">
            <v>1517637</v>
          </cell>
        </row>
        <row r="1384">
          <cell r="AE1384" t="str">
            <v>01 - RENOVADA</v>
          </cell>
          <cell r="AP1384">
            <v>2010709643</v>
          </cell>
        </row>
        <row r="1385">
          <cell r="AE1385" t="str">
            <v>05 - ANULADA EN VIGENCIA</v>
          </cell>
          <cell r="AP1385">
            <v>6986</v>
          </cell>
        </row>
        <row r="1386">
          <cell r="AE1386" t="str">
            <v>05 - ANULADA EN VIGENCIA</v>
          </cell>
          <cell r="AP1386">
            <v>6985</v>
          </cell>
        </row>
        <row r="1387">
          <cell r="AE1387" t="str">
            <v>05 - ANULADA EN VIGENCIA</v>
          </cell>
          <cell r="AP1387">
            <v>36889</v>
          </cell>
        </row>
        <row r="1388">
          <cell r="AE1388" t="str">
            <v>05 - ANULADA EN VIGENCIA</v>
          </cell>
          <cell r="AP1388">
            <v>16451199</v>
          </cell>
        </row>
        <row r="1389">
          <cell r="AE1389" t="str">
            <v>05 - ANULADA EN VIGENCIA</v>
          </cell>
          <cell r="AP1389">
            <v>19043639</v>
          </cell>
        </row>
        <row r="1390">
          <cell r="AE1390" t="str">
            <v>05 - ANULADA EN VIGENCIA</v>
          </cell>
          <cell r="AP1390">
            <v>53321</v>
          </cell>
        </row>
        <row r="1391">
          <cell r="AE1391" t="str">
            <v>01 - RENOVADA</v>
          </cell>
          <cell r="AP1391">
            <v>2000241505</v>
          </cell>
        </row>
        <row r="1392">
          <cell r="AE1392" t="str">
            <v>01 - RENOVADA</v>
          </cell>
          <cell r="AP1392">
            <v>19496408</v>
          </cell>
        </row>
        <row r="1393">
          <cell r="AE1393" t="str">
            <v>05 - ANULADA EN VIGENCIA</v>
          </cell>
          <cell r="AP1393">
            <v>990932</v>
          </cell>
        </row>
        <row r="1394">
          <cell r="AE1394" t="str">
            <v>05 - ANULADA EN VIGENCIA</v>
          </cell>
          <cell r="AP1394">
            <v>1107535</v>
          </cell>
        </row>
        <row r="1395">
          <cell r="AE1395" t="str">
            <v>01 - RENOVADA</v>
          </cell>
          <cell r="AP1395">
            <v>1506667</v>
          </cell>
        </row>
        <row r="1396">
          <cell r="AE1396" t="str">
            <v>08 - VIGENCIA ANTERIOR</v>
          </cell>
          <cell r="AP1396">
            <v>1229681</v>
          </cell>
        </row>
        <row r="1397">
          <cell r="AE1397" t="str">
            <v>04 - NO RENOVADA</v>
          </cell>
          <cell r="AP1397">
            <v>2006836672</v>
          </cell>
        </row>
        <row r="1398">
          <cell r="AE1398" t="str">
            <v>05 - ANULADA EN VIGENCIA</v>
          </cell>
          <cell r="AP1398">
            <v>1408822</v>
          </cell>
        </row>
        <row r="1399">
          <cell r="AE1399" t="str">
            <v>05 - ANULADA EN VIGENCIA</v>
          </cell>
          <cell r="AP1399">
            <v>1042101</v>
          </cell>
        </row>
        <row r="1400">
          <cell r="AE1400" t="str">
            <v>05 - ANULADA EN VIGENCIA</v>
          </cell>
          <cell r="AP1400">
            <v>1243987</v>
          </cell>
        </row>
        <row r="1401">
          <cell r="AE1401" t="str">
            <v>05 - ANULADA EN VIGENCIA</v>
          </cell>
          <cell r="AP1401">
            <v>1402452</v>
          </cell>
        </row>
        <row r="1402">
          <cell r="AE1402" t="str">
            <v>08 - VIGENCIA ANTERIOR</v>
          </cell>
          <cell r="AP1402">
            <v>938406</v>
          </cell>
        </row>
        <row r="1403">
          <cell r="AE1403" t="str">
            <v>01 - RENOVADA</v>
          </cell>
          <cell r="AP1403">
            <v>2009750637</v>
          </cell>
        </row>
        <row r="1404">
          <cell r="AE1404" t="str">
            <v>01 - RENOVADA</v>
          </cell>
          <cell r="AP1404">
            <v>2009638634</v>
          </cell>
        </row>
        <row r="1405">
          <cell r="AE1405" t="str">
            <v>01 - RENOVADA</v>
          </cell>
          <cell r="AP1405">
            <v>2008927731</v>
          </cell>
        </row>
        <row r="1406">
          <cell r="AE1406" t="str">
            <v>01 - RENOVADA</v>
          </cell>
          <cell r="AP1406">
            <v>1473844</v>
          </cell>
        </row>
        <row r="1407">
          <cell r="AE1407" t="str">
            <v>08 - VIGENCIA ANTERIOR</v>
          </cell>
          <cell r="AP1407">
            <v>1003266</v>
          </cell>
        </row>
        <row r="1408">
          <cell r="AE1408" t="str">
            <v>01 - RENOVADA</v>
          </cell>
          <cell r="AP1408">
            <v>1492036</v>
          </cell>
        </row>
        <row r="1409">
          <cell r="AE1409" t="str">
            <v>05 - ANULADA EN VIGENCIA</v>
          </cell>
          <cell r="AP1409">
            <v>78740</v>
          </cell>
        </row>
        <row r="1410">
          <cell r="AE1410" t="str">
            <v>01 - RENOVADA</v>
          </cell>
          <cell r="AP1410">
            <v>2009566602</v>
          </cell>
        </row>
        <row r="1411">
          <cell r="AE1411" t="str">
            <v>05 - ANULADA EN VIGENCIA</v>
          </cell>
          <cell r="AP1411">
            <v>620308</v>
          </cell>
        </row>
        <row r="1412">
          <cell r="AE1412" t="str">
            <v>01 - RENOVADA</v>
          </cell>
          <cell r="AP1412">
            <v>14106411</v>
          </cell>
        </row>
        <row r="1413">
          <cell r="AE1413" t="str">
            <v>01 - RENOVADA</v>
          </cell>
          <cell r="AP1413">
            <v>2008469168</v>
          </cell>
        </row>
        <row r="1414">
          <cell r="AE1414" t="str">
            <v>03 - PENDIENTE</v>
          </cell>
          <cell r="AP1414">
            <v>48893</v>
          </cell>
        </row>
        <row r="1415">
          <cell r="AE1415" t="str">
            <v>01 - RENOVADA</v>
          </cell>
          <cell r="AP1415">
            <v>4741849</v>
          </cell>
        </row>
        <row r="1416">
          <cell r="AE1416" t="str">
            <v>03 - PENDIENTE</v>
          </cell>
          <cell r="AP1416">
            <v>501082</v>
          </cell>
        </row>
        <row r="1417">
          <cell r="AE1417" t="str">
            <v>01 - RENOVADA</v>
          </cell>
          <cell r="AP1417">
            <v>70241316</v>
          </cell>
        </row>
        <row r="1418">
          <cell r="AE1418" t="str">
            <v>05 - ANULADA EN VIGENCIA</v>
          </cell>
          <cell r="AP1418">
            <v>70112996</v>
          </cell>
        </row>
        <row r="1419">
          <cell r="AE1419" t="str">
            <v>01 - RENOVADA</v>
          </cell>
          <cell r="AP1419">
            <v>1161910101744</v>
          </cell>
        </row>
        <row r="1420">
          <cell r="AE1420" t="str">
            <v>01 - RENOVADA</v>
          </cell>
          <cell r="AP1420">
            <v>70227867</v>
          </cell>
        </row>
        <row r="1421">
          <cell r="AE1421" t="str">
            <v>03 - PENDIENTE</v>
          </cell>
          <cell r="AP1421">
            <v>1162410102828</v>
          </cell>
        </row>
        <row r="1422">
          <cell r="AE1422" t="str">
            <v>01 - RENOVADA</v>
          </cell>
          <cell r="AP1422">
            <v>1573351</v>
          </cell>
        </row>
        <row r="1423">
          <cell r="AE1423" t="str">
            <v>05 - ANULADA EN VIGENCIA</v>
          </cell>
          <cell r="AP1423">
            <v>2006989319</v>
          </cell>
        </row>
        <row r="1424">
          <cell r="AE1424" t="str">
            <v>05 - ANULADA EN VIGENCIA</v>
          </cell>
          <cell r="AP1424">
            <v>16499</v>
          </cell>
        </row>
        <row r="1425">
          <cell r="AE1425" t="str">
            <v>01 - RENOVADA</v>
          </cell>
          <cell r="AP1425">
            <v>2001542914</v>
          </cell>
        </row>
        <row r="1426">
          <cell r="AE1426" t="str">
            <v>01 - RENOVADA</v>
          </cell>
          <cell r="AP1426">
            <v>2001547454</v>
          </cell>
        </row>
        <row r="1427">
          <cell r="AE1427" t="str">
            <v>05 - ANULADA EN VIGENCIA</v>
          </cell>
          <cell r="AP1427">
            <v>1013249</v>
          </cell>
        </row>
        <row r="1428">
          <cell r="AE1428" t="str">
            <v>05 - ANULADA EN VIGENCIA</v>
          </cell>
          <cell r="AP1428">
            <v>1117581</v>
          </cell>
        </row>
        <row r="1429">
          <cell r="AE1429" t="str">
            <v>01 - RENOVADA</v>
          </cell>
          <cell r="AP1429">
            <v>3011800048549</v>
          </cell>
        </row>
        <row r="1430">
          <cell r="AE1430" t="str">
            <v>01 - RENOVADA</v>
          </cell>
          <cell r="AP1430">
            <v>2005306369</v>
          </cell>
        </row>
        <row r="1431">
          <cell r="AE1431" t="str">
            <v>01 - RENOVADA</v>
          </cell>
          <cell r="AP1431">
            <v>16867611</v>
          </cell>
        </row>
        <row r="1432">
          <cell r="AE1432" t="str">
            <v>05 - ANULADA EN VIGENCIA</v>
          </cell>
          <cell r="AP1432">
            <v>14004448</v>
          </cell>
        </row>
        <row r="1433">
          <cell r="AE1433" t="str">
            <v>04 - NO RENOVADA</v>
          </cell>
          <cell r="AP1433">
            <v>15731546</v>
          </cell>
        </row>
        <row r="1434">
          <cell r="AE1434" t="str">
            <v>04 - NO RENOVADA</v>
          </cell>
          <cell r="AP1434">
            <v>60865</v>
          </cell>
        </row>
        <row r="1435">
          <cell r="AE1435" t="str">
            <v>01 - RENOVADA</v>
          </cell>
          <cell r="AP1435">
            <v>70218826</v>
          </cell>
        </row>
        <row r="1436">
          <cell r="AE1436" t="str">
            <v>04 - NO RENOVADA</v>
          </cell>
          <cell r="AP1436">
            <v>43812</v>
          </cell>
        </row>
        <row r="1437">
          <cell r="AE1437" t="str">
            <v>01 - RENOVADA</v>
          </cell>
          <cell r="AP1437">
            <v>98739</v>
          </cell>
        </row>
        <row r="1438">
          <cell r="AE1438" t="str">
            <v>01 - RENOVADA</v>
          </cell>
          <cell r="AP1438">
            <v>2009902442</v>
          </cell>
        </row>
        <row r="1439">
          <cell r="AE1439" t="str">
            <v>01 - RENOVADA</v>
          </cell>
          <cell r="AP1439">
            <v>1162510100979</v>
          </cell>
        </row>
        <row r="1440">
          <cell r="AE1440" t="str">
            <v>01 - RENOVADA</v>
          </cell>
          <cell r="AP1440">
            <v>17589060</v>
          </cell>
        </row>
        <row r="1441">
          <cell r="AE1441" t="str">
            <v>01 - RENOVADA</v>
          </cell>
          <cell r="AP1441">
            <v>2009849272</v>
          </cell>
        </row>
        <row r="1442">
          <cell r="AE1442" t="str">
            <v>01 - RENOVADA</v>
          </cell>
          <cell r="AP1442">
            <v>2009848891</v>
          </cell>
        </row>
        <row r="1443">
          <cell r="AE1443" t="str">
            <v>04 - NO RENOVADA</v>
          </cell>
          <cell r="AP1443">
            <v>2005037419</v>
          </cell>
        </row>
        <row r="1444">
          <cell r="AE1444" t="str">
            <v>05 - ANULADA EN VIGENCIA</v>
          </cell>
          <cell r="AP1444">
            <v>2009010013</v>
          </cell>
        </row>
        <row r="1445">
          <cell r="AE1445" t="str">
            <v>04 - NO RENOVADA</v>
          </cell>
          <cell r="AP1445">
            <v>2004799674</v>
          </cell>
        </row>
        <row r="1446">
          <cell r="AE1446" t="str">
            <v>01 - RENOVADA</v>
          </cell>
          <cell r="AP1446">
            <v>2009017126</v>
          </cell>
        </row>
        <row r="1447">
          <cell r="AE1447" t="str">
            <v>08 - VIGENCIA ANTERIOR</v>
          </cell>
          <cell r="AP1447">
            <v>966344</v>
          </cell>
        </row>
        <row r="1448">
          <cell r="AE1448" t="str">
            <v>08 - VIGENCIA ANTERIOR</v>
          </cell>
          <cell r="AP1448">
            <v>1073700</v>
          </cell>
        </row>
        <row r="1449">
          <cell r="AE1449" t="str">
            <v>08 - VIGENCIA ANTERIOR</v>
          </cell>
          <cell r="AP1449">
            <v>1288011</v>
          </cell>
        </row>
        <row r="1450">
          <cell r="AE1450" t="str">
            <v>01 - RENOVADA</v>
          </cell>
          <cell r="AP1450">
            <v>1563894</v>
          </cell>
        </row>
        <row r="1451">
          <cell r="AE1451" t="str">
            <v>05 - ANULADA EN VIGENCIA</v>
          </cell>
          <cell r="AP1451">
            <v>70170123</v>
          </cell>
        </row>
        <row r="1452">
          <cell r="AE1452" t="str">
            <v>01 - RENOVADA</v>
          </cell>
          <cell r="AP1452">
            <v>2011906186</v>
          </cell>
        </row>
        <row r="1453">
          <cell r="AE1453" t="str">
            <v>01 - RENOVADA</v>
          </cell>
          <cell r="AP1453">
            <v>2005060150</v>
          </cell>
        </row>
        <row r="1454">
          <cell r="AE1454" t="str">
            <v>01 - RENOVADA</v>
          </cell>
          <cell r="AP1454">
            <v>70211778</v>
          </cell>
        </row>
        <row r="1455">
          <cell r="AE1455" t="str">
            <v>05 - ANULADA EN VIGENCIA</v>
          </cell>
          <cell r="AP1455">
            <v>2003747768</v>
          </cell>
        </row>
        <row r="1456">
          <cell r="AE1456" t="str">
            <v>05 - ANULADA EN VIGENCIA</v>
          </cell>
          <cell r="AP1456">
            <v>2009010291</v>
          </cell>
        </row>
        <row r="1457">
          <cell r="AE1457" t="str">
            <v>01 - RENOVADA</v>
          </cell>
          <cell r="AP1457">
            <v>2010732546</v>
          </cell>
        </row>
        <row r="1458">
          <cell r="AE1458" t="str">
            <v>05 - ANULADA EN VIGENCIA</v>
          </cell>
          <cell r="AP1458">
            <v>3011800068925</v>
          </cell>
        </row>
        <row r="1459">
          <cell r="AE1459" t="str">
            <v>05 - ANULADA EN VIGENCIA</v>
          </cell>
          <cell r="AP1459">
            <v>3012000018232</v>
          </cell>
        </row>
        <row r="1460">
          <cell r="AE1460" t="str">
            <v>08 - VIGENCIA ANTERIOR</v>
          </cell>
          <cell r="AP1460">
            <v>953133</v>
          </cell>
        </row>
        <row r="1461">
          <cell r="AE1461" t="str">
            <v>08 - VIGENCIA ANTERIOR</v>
          </cell>
          <cell r="AP1461">
            <v>953157</v>
          </cell>
        </row>
        <row r="1462">
          <cell r="AE1462" t="str">
            <v>08 - VIGENCIA ANTERIOR</v>
          </cell>
          <cell r="AP1462">
            <v>1260309</v>
          </cell>
        </row>
        <row r="1463">
          <cell r="AE1463" t="str">
            <v>08 - VIGENCIA ANTERIOR</v>
          </cell>
          <cell r="AP1463">
            <v>1260308</v>
          </cell>
        </row>
        <row r="1464">
          <cell r="AE1464" t="str">
            <v>01 - RENOVADA</v>
          </cell>
          <cell r="AP1464">
            <v>1527970</v>
          </cell>
        </row>
        <row r="1465">
          <cell r="AE1465" t="str">
            <v>04 - NO RENOVADA</v>
          </cell>
          <cell r="AP1465">
            <v>1073716</v>
          </cell>
        </row>
        <row r="1466">
          <cell r="AE1466" t="str">
            <v>01 - RENOVADA</v>
          </cell>
          <cell r="AP1466">
            <v>12067707</v>
          </cell>
        </row>
        <row r="1467">
          <cell r="AE1467" t="str">
            <v>05 - ANULADA EN VIGENCIA</v>
          </cell>
          <cell r="AP1467">
            <v>508961</v>
          </cell>
        </row>
        <row r="1468">
          <cell r="AE1468" t="str">
            <v>01 - RENOVADA</v>
          </cell>
          <cell r="AP1468">
            <v>182326</v>
          </cell>
        </row>
        <row r="1469">
          <cell r="AE1469" t="str">
            <v>04 - NO RENOVADA</v>
          </cell>
          <cell r="AP1469">
            <v>1096389</v>
          </cell>
        </row>
        <row r="1470">
          <cell r="AE1470" t="str">
            <v>01 - RENOVADA</v>
          </cell>
          <cell r="AP1470">
            <v>2008792377</v>
          </cell>
        </row>
        <row r="1471">
          <cell r="AE1471" t="str">
            <v>01 - RENOVADA</v>
          </cell>
          <cell r="AP1471">
            <v>2008783428</v>
          </cell>
        </row>
        <row r="1472">
          <cell r="AE1472" t="str">
            <v>05 - ANULADA EN VIGENCIA</v>
          </cell>
          <cell r="AP1472">
            <v>16712566</v>
          </cell>
        </row>
        <row r="1473">
          <cell r="AE1473" t="str">
            <v>05 - ANULADA EN VIGENCIA</v>
          </cell>
          <cell r="AP1473">
            <v>51355</v>
          </cell>
        </row>
        <row r="1474">
          <cell r="AE1474" t="str">
            <v>01 - RENOVADA</v>
          </cell>
          <cell r="AP1474">
            <v>794445</v>
          </cell>
        </row>
        <row r="1475">
          <cell r="AE1475" t="str">
            <v>05 - ANULADA EN VIGENCIA</v>
          </cell>
          <cell r="AP1475">
            <v>954216</v>
          </cell>
        </row>
        <row r="1476">
          <cell r="AE1476" t="str">
            <v>05 - ANULADA EN VIGENCIA</v>
          </cell>
          <cell r="AP1476">
            <v>1347165</v>
          </cell>
        </row>
        <row r="1477">
          <cell r="AE1477" t="str">
            <v>05 - ANULADA EN VIGENCIA</v>
          </cell>
          <cell r="AP1477">
            <v>1087924</v>
          </cell>
        </row>
        <row r="1478">
          <cell r="AE1478" t="str">
            <v>01 - RENOVADA</v>
          </cell>
          <cell r="AP1478">
            <v>2009009712</v>
          </cell>
        </row>
        <row r="1479">
          <cell r="AE1479" t="str">
            <v>01 - RENOVADA</v>
          </cell>
          <cell r="AP1479">
            <v>2009228166</v>
          </cell>
        </row>
        <row r="1480">
          <cell r="AE1480" t="str">
            <v>05 - ANULADA EN VIGENCIA</v>
          </cell>
          <cell r="AP1480">
            <v>2008501246</v>
          </cell>
        </row>
        <row r="1481">
          <cell r="AE1481" t="str">
            <v>05 - ANULADA EN VIGENCIA</v>
          </cell>
          <cell r="AP1481">
            <v>50385</v>
          </cell>
        </row>
        <row r="1482">
          <cell r="AE1482" t="str">
            <v>05 - ANULADA EN VIGENCIA</v>
          </cell>
          <cell r="AP1482">
            <v>2011289244</v>
          </cell>
        </row>
        <row r="1483">
          <cell r="AE1483" t="str">
            <v>05 - ANULADA EN VIGENCIA</v>
          </cell>
          <cell r="AP1483">
            <v>846960</v>
          </cell>
        </row>
        <row r="1484">
          <cell r="AE1484" t="str">
            <v>05 - ANULADA EN VIGENCIA</v>
          </cell>
          <cell r="AP1484">
            <v>2004714501</v>
          </cell>
        </row>
        <row r="1485">
          <cell r="AE1485" t="str">
            <v>01 - RENOVADA</v>
          </cell>
          <cell r="AP1485">
            <v>1463498</v>
          </cell>
        </row>
        <row r="1486">
          <cell r="AE1486" t="str">
            <v>08 - VIGENCIA ANTERIOR</v>
          </cell>
          <cell r="AP1486">
            <v>517275</v>
          </cell>
        </row>
        <row r="1487">
          <cell r="AE1487" t="str">
            <v>05 - ANULADA EN VIGENCIA</v>
          </cell>
          <cell r="AP1487">
            <v>1301672</v>
          </cell>
        </row>
        <row r="1488">
          <cell r="AE1488" t="str">
            <v>01 - RENOVADA</v>
          </cell>
          <cell r="AP1488">
            <v>2010853241</v>
          </cell>
        </row>
        <row r="1489">
          <cell r="AE1489" t="str">
            <v>01 - RENOVADA</v>
          </cell>
          <cell r="AP1489">
            <v>3581337</v>
          </cell>
        </row>
        <row r="1490">
          <cell r="AE1490" t="str">
            <v>01 - RENOVADA</v>
          </cell>
          <cell r="AP1490">
            <v>3614009</v>
          </cell>
        </row>
        <row r="1491">
          <cell r="AE1491" t="str">
            <v>04 - NO RENOVADA</v>
          </cell>
          <cell r="AP1491">
            <v>2004690580</v>
          </cell>
        </row>
        <row r="1492">
          <cell r="AE1492" t="str">
            <v>05 - ANULADA EN VIGENCIA</v>
          </cell>
          <cell r="AP1492">
            <v>1444676</v>
          </cell>
        </row>
        <row r="1493">
          <cell r="AE1493" t="str">
            <v>05 - ANULADA EN VIGENCIA</v>
          </cell>
          <cell r="AP1493">
            <v>847417</v>
          </cell>
        </row>
        <row r="1494">
          <cell r="AE1494" t="str">
            <v>05 - ANULADA EN VIGENCIA</v>
          </cell>
          <cell r="AP1494">
            <v>1119754</v>
          </cell>
        </row>
        <row r="1495">
          <cell r="AE1495" t="str">
            <v>01 - RENOVADA</v>
          </cell>
          <cell r="AP1495">
            <v>1506741</v>
          </cell>
        </row>
        <row r="1496">
          <cell r="AE1496" t="str">
            <v>01 - RENOVADA</v>
          </cell>
          <cell r="AP1496">
            <v>2008643987</v>
          </cell>
        </row>
        <row r="1497">
          <cell r="AE1497" t="str">
            <v>05 - ANULADA EN VIGENCIA</v>
          </cell>
          <cell r="AP1497">
            <v>2004381610</v>
          </cell>
        </row>
        <row r="1498">
          <cell r="AE1498" t="str">
            <v>05 - ANULADA EN VIGENCIA</v>
          </cell>
          <cell r="AP1498">
            <v>926483</v>
          </cell>
        </row>
        <row r="1499">
          <cell r="AE1499" t="str">
            <v>05 - ANULADA EN VIGENCIA</v>
          </cell>
          <cell r="AP1499">
            <v>1017306</v>
          </cell>
        </row>
        <row r="1500">
          <cell r="AE1500" t="str">
            <v>05 - ANULADA EN VIGENCIA</v>
          </cell>
          <cell r="AP1500">
            <v>1022724</v>
          </cell>
        </row>
        <row r="1501">
          <cell r="AE1501" t="str">
            <v>05 - ANULADA EN VIGENCIA</v>
          </cell>
          <cell r="AP1501">
            <v>1024581</v>
          </cell>
        </row>
        <row r="1502">
          <cell r="AE1502" t="str">
            <v>05 - ANULADA EN VIGENCIA</v>
          </cell>
          <cell r="AP1502">
            <v>1227324</v>
          </cell>
        </row>
        <row r="1503">
          <cell r="AE1503" t="str">
            <v>05 - ANULADA EN VIGENCIA</v>
          </cell>
          <cell r="AP1503">
            <v>52581</v>
          </cell>
        </row>
        <row r="1504">
          <cell r="AE1504" t="str">
            <v>05 - ANULADA EN VIGENCIA</v>
          </cell>
          <cell r="AP1504">
            <v>1059339</v>
          </cell>
        </row>
        <row r="1505">
          <cell r="AE1505" t="str">
            <v>05 - ANULADA EN VIGENCIA</v>
          </cell>
          <cell r="AP1505">
            <v>1055763</v>
          </cell>
        </row>
        <row r="1506">
          <cell r="AE1506" t="str">
            <v>05 - ANULADA EN VIGENCIA</v>
          </cell>
          <cell r="AP1506">
            <v>1056721</v>
          </cell>
        </row>
        <row r="1507">
          <cell r="AE1507" t="str">
            <v>05 - ANULADA EN VIGENCIA</v>
          </cell>
          <cell r="AP1507">
            <v>2007236804</v>
          </cell>
        </row>
        <row r="1508">
          <cell r="AE1508" t="str">
            <v>08 - VIGENCIA ANTERIOR</v>
          </cell>
          <cell r="AP1508">
            <v>766197</v>
          </cell>
        </row>
        <row r="1509">
          <cell r="AE1509" t="str">
            <v>01 - RENOVADA</v>
          </cell>
          <cell r="AP1509">
            <v>1414538</v>
          </cell>
        </row>
        <row r="1510">
          <cell r="AE1510" t="str">
            <v>04 - NO RENOVADA</v>
          </cell>
          <cell r="AP1510">
            <v>2007589638</v>
          </cell>
        </row>
        <row r="1511">
          <cell r="AE1511" t="str">
            <v>01 - RENOVADA</v>
          </cell>
          <cell r="AP1511">
            <v>2009010581</v>
          </cell>
        </row>
        <row r="1512">
          <cell r="AE1512" t="str">
            <v>04 - NO RENOVADA</v>
          </cell>
          <cell r="AP1512">
            <v>6757460</v>
          </cell>
        </row>
        <row r="1513">
          <cell r="AE1513" t="str">
            <v>05 - ANULADA EN VIGENCIA</v>
          </cell>
          <cell r="AP1513">
            <v>3012100009423</v>
          </cell>
        </row>
        <row r="1514">
          <cell r="AE1514" t="str">
            <v>04 - NO RENOVADA</v>
          </cell>
          <cell r="AP1514">
            <v>7796982</v>
          </cell>
        </row>
        <row r="1515">
          <cell r="AE1515" t="str">
            <v>01 - RENOVADA</v>
          </cell>
          <cell r="AP1515">
            <v>17151901</v>
          </cell>
        </row>
        <row r="1516">
          <cell r="AE1516" t="str">
            <v>05 - ANULADA EN VIGENCIA</v>
          </cell>
          <cell r="AP1516">
            <v>43805</v>
          </cell>
        </row>
        <row r="1517">
          <cell r="AE1517" t="str">
            <v>04 - NO RENOVADA</v>
          </cell>
          <cell r="AP1517">
            <v>7544049</v>
          </cell>
        </row>
        <row r="1518">
          <cell r="AE1518" t="str">
            <v>05 - ANULADA EN VIGENCIA</v>
          </cell>
          <cell r="AP1518">
            <v>42905</v>
          </cell>
        </row>
        <row r="1519">
          <cell r="AE1519" t="str">
            <v>05 - ANULADA EN VIGENCIA</v>
          </cell>
          <cell r="AP1519">
            <v>4012009021</v>
          </cell>
        </row>
        <row r="1520">
          <cell r="AE1520" t="str">
            <v>05 - ANULADA EN VIGENCIA</v>
          </cell>
          <cell r="AP1520">
            <v>2009495367</v>
          </cell>
        </row>
        <row r="1521">
          <cell r="AE1521" t="str">
            <v>01 - RENOVADA</v>
          </cell>
          <cell r="AP1521">
            <v>37735</v>
          </cell>
        </row>
        <row r="1522">
          <cell r="AE1522" t="str">
            <v>01 - RENOVADA</v>
          </cell>
          <cell r="AP1522">
            <v>1449182</v>
          </cell>
        </row>
        <row r="1523">
          <cell r="AE1523" t="str">
            <v>05 - ANULADA EN VIGENCIA</v>
          </cell>
          <cell r="AP1523">
            <v>1108728</v>
          </cell>
        </row>
        <row r="1524">
          <cell r="AE1524" t="str">
            <v>03 - PENDIENTE</v>
          </cell>
          <cell r="AP1524">
            <v>1523613</v>
          </cell>
        </row>
        <row r="1525">
          <cell r="AE1525" t="str">
            <v>08 - VIGENCIA ANTERIOR</v>
          </cell>
          <cell r="AP1525">
            <v>1063530</v>
          </cell>
        </row>
        <row r="1526">
          <cell r="AE1526" t="str">
            <v>08 - VIGENCIA ANTERIOR</v>
          </cell>
          <cell r="AP1526">
            <v>1269442</v>
          </cell>
        </row>
        <row r="1527">
          <cell r="AE1527" t="str">
            <v>01 - RENOVADA</v>
          </cell>
          <cell r="AP1527">
            <v>1538672</v>
          </cell>
        </row>
        <row r="1528">
          <cell r="AE1528" t="str">
            <v>05 - ANULADA EN VIGENCIA</v>
          </cell>
          <cell r="AP1528">
            <v>2003445324</v>
          </cell>
        </row>
        <row r="1529">
          <cell r="AE1529" t="str">
            <v>05 - ANULADA EN VIGENCIA</v>
          </cell>
          <cell r="AP1529">
            <v>220022652</v>
          </cell>
        </row>
        <row r="1530">
          <cell r="AE1530" t="str">
            <v>04 - NO RENOVADA</v>
          </cell>
          <cell r="AP1530">
            <v>8100456</v>
          </cell>
        </row>
        <row r="1531">
          <cell r="AE1531" t="str">
            <v>01 - RENOVADA</v>
          </cell>
          <cell r="AP1531">
            <v>2009495172</v>
          </cell>
        </row>
        <row r="1532">
          <cell r="AE1532" t="str">
            <v>05 - ANULADA EN VIGENCIA</v>
          </cell>
          <cell r="AP1532" t="str">
            <v>1444479-10</v>
          </cell>
        </row>
        <row r="1533">
          <cell r="AE1533" t="str">
            <v>01 - RENOVADA</v>
          </cell>
          <cell r="AP1533">
            <v>1506821</v>
          </cell>
        </row>
        <row r="1534">
          <cell r="AE1534" t="str">
            <v>03 - PENDIENTE</v>
          </cell>
          <cell r="AP1534">
            <v>12025711</v>
          </cell>
        </row>
        <row r="1535">
          <cell r="AE1535" t="str">
            <v>04 - NO RENOVADA</v>
          </cell>
          <cell r="AP1535">
            <v>1072003</v>
          </cell>
        </row>
        <row r="1536">
          <cell r="AE1536" t="str">
            <v>08 - VIGENCIA ANTERIOR</v>
          </cell>
          <cell r="AP1536">
            <v>2007355289</v>
          </cell>
        </row>
        <row r="1537">
          <cell r="AE1537" t="str">
            <v>01 - RENOVADA</v>
          </cell>
          <cell r="AP1537">
            <v>1547969</v>
          </cell>
        </row>
        <row r="1538">
          <cell r="AE1538" t="str">
            <v>01 - RENOVADA</v>
          </cell>
          <cell r="AP1538">
            <v>4667</v>
          </cell>
        </row>
        <row r="1539">
          <cell r="AE1539" t="str">
            <v>04 - NO RENOVADA</v>
          </cell>
          <cell r="AP1539">
            <v>2004937826</v>
          </cell>
        </row>
        <row r="1540">
          <cell r="AE1540" t="str">
            <v>04 - NO RENOVADA</v>
          </cell>
          <cell r="AP1540">
            <v>3011900022886</v>
          </cell>
        </row>
        <row r="1541">
          <cell r="AE1541" t="str">
            <v>05 - ANULADA EN VIGENCIA</v>
          </cell>
          <cell r="AP1541">
            <v>71999</v>
          </cell>
        </row>
        <row r="1542">
          <cell r="AE1542" t="str">
            <v>01 - RENOVADA</v>
          </cell>
          <cell r="AP1542">
            <v>2010774117</v>
          </cell>
        </row>
        <row r="1543">
          <cell r="AE1543" t="str">
            <v>05 - ANULADA EN VIGENCIA</v>
          </cell>
          <cell r="AP1543">
            <v>500025</v>
          </cell>
        </row>
        <row r="1544">
          <cell r="AE1544" t="str">
            <v>08 - VIGENCIA ANTERIOR</v>
          </cell>
          <cell r="AP1544">
            <v>1014980</v>
          </cell>
        </row>
        <row r="1545">
          <cell r="AE1545" t="str">
            <v>05 - ANULADA EN VIGENCIA</v>
          </cell>
          <cell r="AP1545">
            <v>1109529</v>
          </cell>
        </row>
        <row r="1546">
          <cell r="AE1546" t="str">
            <v>01 - RENOVADA</v>
          </cell>
          <cell r="AP1546">
            <v>15142</v>
          </cell>
        </row>
        <row r="1547">
          <cell r="AE1547" t="str">
            <v>01 - RENOVADA</v>
          </cell>
          <cell r="AP1547">
            <v>15408</v>
          </cell>
        </row>
        <row r="1548">
          <cell r="AE1548" t="str">
            <v>01 - RENOVADA</v>
          </cell>
          <cell r="AP1548">
            <v>4018003390</v>
          </cell>
        </row>
        <row r="1549">
          <cell r="AE1549" t="str">
            <v>03 - PENDIENTE</v>
          </cell>
          <cell r="AP1549">
            <v>128077</v>
          </cell>
        </row>
        <row r="1550">
          <cell r="AE1550" t="str">
            <v>05 - ANULADA EN VIGENCIA</v>
          </cell>
          <cell r="AP1550">
            <v>16867897</v>
          </cell>
        </row>
        <row r="1551">
          <cell r="AE1551" t="str">
            <v>05 - ANULADA EN VIGENCIA</v>
          </cell>
          <cell r="AP1551">
            <v>16868662</v>
          </cell>
        </row>
        <row r="1552">
          <cell r="AE1552" t="str">
            <v>05 - ANULADA EN VIGENCIA</v>
          </cell>
          <cell r="AP1552">
            <v>16868959</v>
          </cell>
        </row>
        <row r="1553">
          <cell r="AE1553" t="str">
            <v>05 - ANULADA EN VIGENCIA</v>
          </cell>
          <cell r="AP1553">
            <v>2006695266</v>
          </cell>
        </row>
        <row r="1554">
          <cell r="AE1554" t="str">
            <v>01 - RENOVADA</v>
          </cell>
          <cell r="AP1554">
            <v>1483604</v>
          </cell>
        </row>
        <row r="1555">
          <cell r="AE1555" t="str">
            <v>01 - RENOVADA</v>
          </cell>
          <cell r="AP1555">
            <v>2011148648</v>
          </cell>
        </row>
        <row r="1556">
          <cell r="AE1556" t="str">
            <v>08 - VIGENCIA ANTERIOR</v>
          </cell>
          <cell r="AP1556">
            <v>1003316</v>
          </cell>
        </row>
        <row r="1557">
          <cell r="AE1557" t="str">
            <v>05 - ANULADA EN VIGENCIA</v>
          </cell>
          <cell r="AP1557">
            <v>2006689312</v>
          </cell>
        </row>
        <row r="1558">
          <cell r="AE1558" t="str">
            <v>08 - VIGENCIA ANTERIOR</v>
          </cell>
          <cell r="AP1558">
            <v>1118763</v>
          </cell>
        </row>
        <row r="1559">
          <cell r="AE1559" t="str">
            <v>05 - ANULADA EN VIGENCIA</v>
          </cell>
          <cell r="AP1559">
            <v>75026</v>
          </cell>
        </row>
        <row r="1560">
          <cell r="AE1560" t="str">
            <v>05 - ANULADA EN VIGENCIA</v>
          </cell>
          <cell r="AP1560">
            <v>78761</v>
          </cell>
        </row>
        <row r="1561">
          <cell r="AE1561" t="str">
            <v>05 - ANULADA EN VIGENCIA</v>
          </cell>
          <cell r="AP1561">
            <v>4421</v>
          </cell>
        </row>
        <row r="1562">
          <cell r="AE1562" t="str">
            <v>05 - ANULADA EN VIGENCIA</v>
          </cell>
          <cell r="AP1562">
            <v>612162340</v>
          </cell>
        </row>
        <row r="1563">
          <cell r="AE1563" t="str">
            <v>05 - ANULADA EN VIGENCIA</v>
          </cell>
          <cell r="AP1563">
            <v>661983</v>
          </cell>
        </row>
        <row r="1564">
          <cell r="AE1564" t="str">
            <v>05 - ANULADA EN VIGENCIA</v>
          </cell>
          <cell r="AP1564">
            <v>1234114</v>
          </cell>
        </row>
        <row r="1565">
          <cell r="AE1565" t="str">
            <v>05 - ANULADA EN VIGENCIA</v>
          </cell>
          <cell r="AP1565">
            <v>1073710</v>
          </cell>
        </row>
        <row r="1566">
          <cell r="AE1566" t="str">
            <v>05 - ANULADA EN VIGENCIA</v>
          </cell>
          <cell r="AP1566">
            <v>1294403</v>
          </cell>
        </row>
        <row r="1567">
          <cell r="AE1567" t="str">
            <v>05 - ANULADA EN VIGENCIA</v>
          </cell>
          <cell r="AP1567">
            <v>2010091580</v>
          </cell>
        </row>
        <row r="1568">
          <cell r="AE1568" t="str">
            <v>01 - RENOVADA</v>
          </cell>
          <cell r="AP1568">
            <v>2011916350</v>
          </cell>
        </row>
        <row r="1569">
          <cell r="AE1569" t="str">
            <v>04 - NO RENOVADA</v>
          </cell>
          <cell r="AP1569">
            <v>1058526</v>
          </cell>
        </row>
        <row r="1570">
          <cell r="AE1570" t="str">
            <v>05 - ANULADA EN VIGENCIA</v>
          </cell>
          <cell r="AP1570">
            <v>2004741262</v>
          </cell>
        </row>
        <row r="1571">
          <cell r="AE1571" t="str">
            <v>08 - VIGENCIA ANTERIOR</v>
          </cell>
          <cell r="AP1571">
            <v>1050775</v>
          </cell>
        </row>
        <row r="1572">
          <cell r="AE1572" t="str">
            <v>05 - ANULADA EN VIGENCIA</v>
          </cell>
          <cell r="AP1572">
            <v>1251725</v>
          </cell>
        </row>
        <row r="1573">
          <cell r="AE1573" t="str">
            <v>04 - NO RENOVADA</v>
          </cell>
          <cell r="AP1573">
            <v>3011800080004</v>
          </cell>
        </row>
        <row r="1574">
          <cell r="AE1574" t="str">
            <v>01 - RENOVADA</v>
          </cell>
          <cell r="AP1574">
            <v>70238545</v>
          </cell>
        </row>
        <row r="1575">
          <cell r="AE1575" t="str">
            <v>04 - NO RENOVADA</v>
          </cell>
          <cell r="AP1575">
            <v>550270</v>
          </cell>
        </row>
        <row r="1576">
          <cell r="AE1576" t="str">
            <v>05 - ANULADA EN VIGENCIA</v>
          </cell>
          <cell r="AP1576">
            <v>2004741268</v>
          </cell>
        </row>
        <row r="1577">
          <cell r="AE1577" t="str">
            <v>05 - ANULADA EN VIGENCIA</v>
          </cell>
          <cell r="AP1577">
            <v>1077994</v>
          </cell>
        </row>
        <row r="1578">
          <cell r="AE1578" t="str">
            <v>03 - PENDIENTE</v>
          </cell>
          <cell r="AP1578">
            <v>1393870</v>
          </cell>
        </row>
        <row r="1579">
          <cell r="AE1579" t="str">
            <v>05 - ANULADA EN VIGENCIA</v>
          </cell>
          <cell r="AP1579">
            <v>1012624</v>
          </cell>
        </row>
        <row r="1580">
          <cell r="AE1580" t="str">
            <v>05 - ANULADA EN VIGENCIA</v>
          </cell>
          <cell r="AP1580">
            <v>1117619</v>
          </cell>
        </row>
        <row r="1581">
          <cell r="AE1581" t="str">
            <v>01 - RENOVADA</v>
          </cell>
          <cell r="AP1581">
            <v>1483614</v>
          </cell>
        </row>
        <row r="1582">
          <cell r="AE1582" t="str">
            <v>08 - VIGENCIA ANTERIOR</v>
          </cell>
          <cell r="AP1582">
            <v>2006688514</v>
          </cell>
        </row>
        <row r="1583">
          <cell r="AE1583" t="str">
            <v>01 - RENOVADA</v>
          </cell>
          <cell r="AP1583">
            <v>2009404581</v>
          </cell>
        </row>
        <row r="1584">
          <cell r="AE1584" t="str">
            <v>08 - VIGENCIA ANTERIOR</v>
          </cell>
          <cell r="AP1584">
            <v>1059352</v>
          </cell>
        </row>
        <row r="1585">
          <cell r="AE1585" t="str">
            <v>08 - VIGENCIA ANTERIOR</v>
          </cell>
          <cell r="AP1585">
            <v>1265920</v>
          </cell>
        </row>
        <row r="1586">
          <cell r="AE1586" t="str">
            <v>05 - ANULADA EN VIGENCIA</v>
          </cell>
          <cell r="AP1586">
            <v>1544438</v>
          </cell>
        </row>
        <row r="1587">
          <cell r="AE1587" t="str">
            <v>05 - ANULADA EN VIGENCIA</v>
          </cell>
          <cell r="AP1587">
            <v>2009010608</v>
          </cell>
        </row>
        <row r="1588">
          <cell r="AE1588" t="str">
            <v>05 - ANULADA EN VIGENCIA</v>
          </cell>
          <cell r="AP1588">
            <v>2000123239</v>
          </cell>
        </row>
        <row r="1589">
          <cell r="AE1589" t="str">
            <v>01 - RENOVADA</v>
          </cell>
          <cell r="AP1589">
            <v>496339</v>
          </cell>
        </row>
        <row r="1590">
          <cell r="AE1590" t="str">
            <v>04 - NO RENOVADA</v>
          </cell>
          <cell r="AP1590">
            <v>2006131488</v>
          </cell>
        </row>
        <row r="1591">
          <cell r="AE1591" t="str">
            <v>05 - ANULADA EN VIGENCIA</v>
          </cell>
          <cell r="AP1591">
            <v>945771</v>
          </cell>
        </row>
        <row r="1592">
          <cell r="AE1592" t="str">
            <v>05 - ANULADA EN VIGENCIA</v>
          </cell>
          <cell r="AP1592">
            <v>1243994</v>
          </cell>
        </row>
        <row r="1593">
          <cell r="AE1593" t="str">
            <v>05 - ANULADA EN VIGENCIA</v>
          </cell>
          <cell r="AP1593">
            <v>1345004</v>
          </cell>
        </row>
        <row r="1594">
          <cell r="AE1594" t="str">
            <v>03 - PENDIENTE</v>
          </cell>
          <cell r="AP1594">
            <v>15778716</v>
          </cell>
        </row>
        <row r="1595">
          <cell r="AE1595" t="str">
            <v>05 - ANULADA EN VIGENCIA</v>
          </cell>
          <cell r="AP1595">
            <v>2010570378</v>
          </cell>
        </row>
        <row r="1596">
          <cell r="AE1596" t="str">
            <v>01 - RENOVADA</v>
          </cell>
          <cell r="AP1596">
            <v>2856</v>
          </cell>
        </row>
        <row r="1597">
          <cell r="AE1597" t="str">
            <v>07 - DEVUELTO A AON</v>
          </cell>
          <cell r="AP1597">
            <v>920090</v>
          </cell>
        </row>
        <row r="1598">
          <cell r="AE1598" t="str">
            <v>07 - DEVUELTO A AON</v>
          </cell>
          <cell r="AP1598">
            <v>1033655</v>
          </cell>
        </row>
        <row r="1599">
          <cell r="AE1599" t="str">
            <v>01 - RENOVADA</v>
          </cell>
          <cell r="AP1599">
            <v>2000480095</v>
          </cell>
        </row>
        <row r="1600">
          <cell r="AE1600" t="str">
            <v>04 - NO RENOVADA</v>
          </cell>
          <cell r="AP1600">
            <v>70113966</v>
          </cell>
        </row>
        <row r="1601">
          <cell r="AE1601" t="str">
            <v>01 - RENOVADA</v>
          </cell>
          <cell r="AP1601">
            <v>1202210400131</v>
          </cell>
        </row>
        <row r="1602">
          <cell r="AE1602" t="str">
            <v>01 - RENOVADA</v>
          </cell>
          <cell r="AP1602">
            <v>2716974</v>
          </cell>
        </row>
        <row r="1603">
          <cell r="AE1603" t="str">
            <v>01 - RENOVADA</v>
          </cell>
          <cell r="AP1603">
            <v>70202550</v>
          </cell>
        </row>
        <row r="1604">
          <cell r="AE1604" t="str">
            <v>05 - ANULADA EN VIGENCIA</v>
          </cell>
          <cell r="AP1604">
            <v>16744704</v>
          </cell>
        </row>
        <row r="1605">
          <cell r="AE1605" t="str">
            <v>03 - PENDIENTE</v>
          </cell>
          <cell r="AP1605">
            <v>21474565</v>
          </cell>
        </row>
        <row r="1606">
          <cell r="AE1606" t="str">
            <v>01 - RENOVADA</v>
          </cell>
          <cell r="AP1606">
            <v>1532759</v>
          </cell>
        </row>
        <row r="1607">
          <cell r="AE1607" t="str">
            <v>08 - VIGENCIA ANTERIOR</v>
          </cell>
          <cell r="AP1607">
            <v>1063591</v>
          </cell>
        </row>
        <row r="1608">
          <cell r="AE1608" t="str">
            <v>08 - VIGENCIA ANTERIOR</v>
          </cell>
          <cell r="AP1608">
            <v>1063597</v>
          </cell>
        </row>
        <row r="1609">
          <cell r="AE1609" t="str">
            <v>08 - VIGENCIA ANTERIOR</v>
          </cell>
          <cell r="AP1609">
            <v>1274766</v>
          </cell>
        </row>
        <row r="1610">
          <cell r="AE1610" t="str">
            <v>08 - VIGENCIA ANTERIOR</v>
          </cell>
          <cell r="AP1610">
            <v>1274768</v>
          </cell>
        </row>
        <row r="1611">
          <cell r="AE1611" t="str">
            <v>05 - ANULADA EN VIGENCIA</v>
          </cell>
          <cell r="AP1611">
            <v>1358911</v>
          </cell>
        </row>
        <row r="1612">
          <cell r="AE1612" t="str">
            <v>04 - NO RENOVADA</v>
          </cell>
          <cell r="AP1612">
            <v>1358898</v>
          </cell>
        </row>
        <row r="1613">
          <cell r="AE1613" t="str">
            <v>05 - ANULADA EN VIGENCIA</v>
          </cell>
          <cell r="AP1613">
            <v>39574</v>
          </cell>
        </row>
        <row r="1614">
          <cell r="AE1614" t="str">
            <v>01 - RENOVADA</v>
          </cell>
          <cell r="AP1614">
            <v>2009287925</v>
          </cell>
        </row>
        <row r="1615">
          <cell r="AE1615" t="str">
            <v>08 - VIGENCIA ANTERIOR</v>
          </cell>
          <cell r="AP1615">
            <v>1096691</v>
          </cell>
        </row>
        <row r="1616">
          <cell r="AE1616" t="str">
            <v>08 - VIGENCIA ANTERIOR</v>
          </cell>
          <cell r="AP1616">
            <v>1298685</v>
          </cell>
        </row>
        <row r="1617">
          <cell r="AE1617" t="str">
            <v>05 - ANULADA EN VIGENCIA</v>
          </cell>
          <cell r="AP1617">
            <v>1380589</v>
          </cell>
        </row>
        <row r="1618">
          <cell r="AE1618" t="str">
            <v>01 - RENOVADA</v>
          </cell>
          <cell r="AP1618">
            <v>2009495282</v>
          </cell>
        </row>
        <row r="1619">
          <cell r="AE1619" t="str">
            <v>05 - ANULADA EN VIGENCIA</v>
          </cell>
          <cell r="AP1619">
            <v>998040</v>
          </cell>
        </row>
        <row r="1620">
          <cell r="AE1620" t="str">
            <v>01 - RENOVADA</v>
          </cell>
          <cell r="AP1620">
            <v>969696</v>
          </cell>
        </row>
        <row r="1621">
          <cell r="AE1621" t="str">
            <v>01 - RENOVADA</v>
          </cell>
          <cell r="AP1621">
            <v>52205</v>
          </cell>
        </row>
        <row r="1622">
          <cell r="AE1622" t="str">
            <v>01 - RENOVADA</v>
          </cell>
          <cell r="AP1622">
            <v>2009501603</v>
          </cell>
        </row>
        <row r="1623">
          <cell r="AE1623" t="str">
            <v>04 - NO RENOVADA</v>
          </cell>
          <cell r="AP1623">
            <v>961931</v>
          </cell>
        </row>
        <row r="1624">
          <cell r="AE1624" t="str">
            <v>05 - ANULADA EN VIGENCIA</v>
          </cell>
          <cell r="AP1624">
            <v>1268724</v>
          </cell>
        </row>
        <row r="1625">
          <cell r="AE1625" t="str">
            <v>01 - RENOVADA</v>
          </cell>
          <cell r="AP1625">
            <v>1271702</v>
          </cell>
        </row>
        <row r="1626">
          <cell r="AE1626" t="str">
            <v>03 - PENDIENTE</v>
          </cell>
          <cell r="AP1626">
            <v>38142</v>
          </cell>
        </row>
        <row r="1627">
          <cell r="AE1627" t="str">
            <v>04 - NO RENOVADA</v>
          </cell>
          <cell r="AP1627">
            <v>2004741459</v>
          </cell>
        </row>
        <row r="1628">
          <cell r="AE1628" t="str">
            <v>04 - NO RENOVADA</v>
          </cell>
          <cell r="AP1628">
            <v>2006190810</v>
          </cell>
        </row>
        <row r="1629">
          <cell r="AE1629" t="str">
            <v>01 - RENOVADA</v>
          </cell>
          <cell r="AP1629">
            <v>2009010106</v>
          </cell>
        </row>
        <row r="1630">
          <cell r="AE1630" t="str">
            <v>05 - ANULADA EN VIGENCIA</v>
          </cell>
          <cell r="AP1630">
            <v>2008496472</v>
          </cell>
        </row>
        <row r="1631">
          <cell r="AE1631" t="str">
            <v>05 - ANULADA EN VIGENCIA</v>
          </cell>
          <cell r="AP1631">
            <v>43793</v>
          </cell>
        </row>
        <row r="1632">
          <cell r="AE1632" t="str">
            <v>04 - NO RENOVADA</v>
          </cell>
          <cell r="AP1632">
            <v>16780786</v>
          </cell>
        </row>
        <row r="1633">
          <cell r="AE1633" t="str">
            <v>01 - RENOVADA</v>
          </cell>
          <cell r="AP1633">
            <v>2008797562</v>
          </cell>
        </row>
        <row r="1634">
          <cell r="AE1634" t="str">
            <v>01 - RENOVADA</v>
          </cell>
          <cell r="AP1634">
            <v>2010767165</v>
          </cell>
        </row>
        <row r="1635">
          <cell r="AE1635" t="str">
            <v>05 - ANULADA EN VIGENCIA</v>
          </cell>
          <cell r="AP1635" t="str">
            <v>1444479-05</v>
          </cell>
        </row>
        <row r="1636">
          <cell r="AE1636" t="str">
            <v>04 - NO RENOVADA</v>
          </cell>
          <cell r="AP1636">
            <v>35195</v>
          </cell>
        </row>
        <row r="1637">
          <cell r="AE1637" t="str">
            <v>01 - RENOVADA</v>
          </cell>
          <cell r="AP1637">
            <v>70152</v>
          </cell>
        </row>
        <row r="1638">
          <cell r="AE1638" t="str">
            <v>01 - RENOVADA</v>
          </cell>
          <cell r="AP1638">
            <v>50846</v>
          </cell>
        </row>
        <row r="1639">
          <cell r="AE1639" t="str">
            <v>05 - ANULADA EN VIGENCIA</v>
          </cell>
          <cell r="AP1639">
            <v>37136</v>
          </cell>
        </row>
        <row r="1640">
          <cell r="AE1640" t="str">
            <v>05 - ANULADA EN VIGENCIA</v>
          </cell>
          <cell r="AP1640">
            <v>2007002122</v>
          </cell>
        </row>
        <row r="1641">
          <cell r="AE1641" t="str">
            <v>04 - NO RENOVADA</v>
          </cell>
          <cell r="AP1641">
            <v>967208</v>
          </cell>
        </row>
        <row r="1642">
          <cell r="AE1642" t="str">
            <v>01 - RENOVADA</v>
          </cell>
          <cell r="AP1642">
            <v>70207494</v>
          </cell>
        </row>
        <row r="1643">
          <cell r="AE1643" t="str">
            <v>08 - VIGENCIA ANTERIOR</v>
          </cell>
          <cell r="AP1643">
            <v>813317</v>
          </cell>
        </row>
        <row r="1644">
          <cell r="AE1644" t="str">
            <v>08 - VIGENCIA ANTERIOR</v>
          </cell>
          <cell r="AP1644">
            <v>1073693</v>
          </cell>
        </row>
        <row r="1645">
          <cell r="AE1645" t="str">
            <v>08 - VIGENCIA ANTERIOR</v>
          </cell>
          <cell r="AP1645">
            <v>1295153</v>
          </cell>
        </row>
        <row r="1646">
          <cell r="AE1646" t="str">
            <v>01 - RENOVADA</v>
          </cell>
          <cell r="AP1646">
            <v>1573560</v>
          </cell>
        </row>
        <row r="1647">
          <cell r="AE1647" t="str">
            <v>03 - PENDIENTE</v>
          </cell>
          <cell r="AP1647" t="str">
            <v>TE-000160-0</v>
          </cell>
        </row>
        <row r="1648">
          <cell r="AE1648" t="str">
            <v>01 - RENOVADA</v>
          </cell>
          <cell r="AP1648">
            <v>70248052</v>
          </cell>
        </row>
        <row r="1649">
          <cell r="AE1649" t="str">
            <v>03 - PENDIENTE</v>
          </cell>
          <cell r="AP1649">
            <v>2011064853</v>
          </cell>
        </row>
        <row r="1650">
          <cell r="AE1650" t="str">
            <v>04 - NO RENOVADA</v>
          </cell>
          <cell r="AP1650">
            <v>76080</v>
          </cell>
        </row>
        <row r="1651">
          <cell r="AE1651" t="str">
            <v>01 - RENOVADA</v>
          </cell>
          <cell r="AP1651" t="str">
            <v>E0026804</v>
          </cell>
        </row>
        <row r="1652">
          <cell r="AE1652" t="str">
            <v>01 - RENOVADA</v>
          </cell>
          <cell r="AP1652">
            <v>70199014</v>
          </cell>
        </row>
        <row r="1653">
          <cell r="AE1653" t="str">
            <v>08 - VIGENCIA ANTERIOR</v>
          </cell>
          <cell r="AP1653">
            <v>2007220313</v>
          </cell>
        </row>
        <row r="1654">
          <cell r="AE1654" t="str">
            <v>04 - NO RENOVADA</v>
          </cell>
          <cell r="AP1654">
            <v>2006892379</v>
          </cell>
        </row>
        <row r="1655">
          <cell r="AE1655" t="str">
            <v>01 - RENOVADA</v>
          </cell>
          <cell r="AP1655">
            <v>1573582</v>
          </cell>
        </row>
        <row r="1656">
          <cell r="AE1656" t="str">
            <v>05 - ANULADA EN VIGENCIA</v>
          </cell>
          <cell r="AP1656">
            <v>2008681129</v>
          </cell>
        </row>
        <row r="1657">
          <cell r="AE1657" t="str">
            <v>05 - ANULADA EN VIGENCIA</v>
          </cell>
          <cell r="AP1657">
            <v>70188231</v>
          </cell>
        </row>
        <row r="1658">
          <cell r="AE1658" t="str">
            <v>05 - ANULADA EN VIGENCIA</v>
          </cell>
          <cell r="AP1658">
            <v>3022200257852</v>
          </cell>
        </row>
        <row r="1659">
          <cell r="AE1659" t="str">
            <v>05 - ANULADA EN VIGENCIA</v>
          </cell>
          <cell r="AP1659">
            <v>322772</v>
          </cell>
        </row>
        <row r="1660">
          <cell r="AE1660" t="str">
            <v>05 - ANULADA EN VIGENCIA</v>
          </cell>
          <cell r="AP1660">
            <v>75233</v>
          </cell>
        </row>
        <row r="1661">
          <cell r="AE1661" t="str">
            <v>05 - ANULADA EN VIGENCIA</v>
          </cell>
          <cell r="AP1661">
            <v>1003175</v>
          </cell>
        </row>
        <row r="1662">
          <cell r="AE1662" t="str">
            <v>05 - ANULADA EN VIGENCIA</v>
          </cell>
          <cell r="AP1662">
            <v>1012897</v>
          </cell>
        </row>
        <row r="1663">
          <cell r="AE1663" t="str">
            <v>08 - VIGENCIA ANTERIOR</v>
          </cell>
          <cell r="AP1663">
            <v>1042273</v>
          </cell>
        </row>
        <row r="1664">
          <cell r="AE1664" t="str">
            <v>08 - VIGENCIA ANTERIOR</v>
          </cell>
          <cell r="AP1664">
            <v>1086344</v>
          </cell>
        </row>
        <row r="1665">
          <cell r="AE1665" t="str">
            <v>08 - VIGENCIA ANTERIOR</v>
          </cell>
          <cell r="AP1665">
            <v>1294582</v>
          </cell>
        </row>
        <row r="1666">
          <cell r="AE1666" t="str">
            <v>05 - ANULADA EN VIGENCIA</v>
          </cell>
          <cell r="AP1666">
            <v>1462717</v>
          </cell>
        </row>
        <row r="1667">
          <cell r="AE1667" t="str">
            <v>01 - RENOVADA</v>
          </cell>
          <cell r="AP1667">
            <v>2009749900</v>
          </cell>
        </row>
        <row r="1668">
          <cell r="AE1668" t="str">
            <v>05 - ANULADA EN VIGENCIA</v>
          </cell>
          <cell r="AP1668">
            <v>1071995</v>
          </cell>
        </row>
        <row r="1669">
          <cell r="AE1669" t="str">
            <v>04 - NO RENOVADA</v>
          </cell>
          <cell r="AP1669">
            <v>1073458</v>
          </cell>
        </row>
        <row r="1670">
          <cell r="AE1670" t="str">
            <v>04 - NO RENOVADA</v>
          </cell>
          <cell r="AP1670">
            <v>1268856</v>
          </cell>
        </row>
        <row r="1671">
          <cell r="AE1671" t="str">
            <v>08 - VIGENCIA ANTERIOR</v>
          </cell>
          <cell r="AP1671">
            <v>1087923</v>
          </cell>
        </row>
        <row r="1672">
          <cell r="AE1672" t="str">
            <v>08 - VIGENCIA ANTERIOR</v>
          </cell>
          <cell r="AP1672">
            <v>1294202</v>
          </cell>
        </row>
        <row r="1673">
          <cell r="AE1673" t="str">
            <v>01 - RENOVADA</v>
          </cell>
          <cell r="AP1673">
            <v>1573588</v>
          </cell>
        </row>
        <row r="1674">
          <cell r="AE1674" t="str">
            <v>01 - RENOVADA</v>
          </cell>
          <cell r="AP1674">
            <v>2009850089</v>
          </cell>
        </row>
        <row r="1675">
          <cell r="AE1675" t="str">
            <v>01 - RENOVADA</v>
          </cell>
          <cell r="AP1675">
            <v>1447004</v>
          </cell>
        </row>
        <row r="1676">
          <cell r="AE1676" t="str">
            <v>05 - ANULADA EN VIGENCIA</v>
          </cell>
          <cell r="AP1676">
            <v>1069091</v>
          </cell>
        </row>
        <row r="1677">
          <cell r="AE1677" t="str">
            <v>05 - ANULADA EN VIGENCIA</v>
          </cell>
          <cell r="AP1677">
            <v>1282615</v>
          </cell>
        </row>
        <row r="1678">
          <cell r="AE1678" t="str">
            <v>08 - VIGENCIA ANTERIOR</v>
          </cell>
          <cell r="AP1678">
            <v>1073702</v>
          </cell>
        </row>
        <row r="1679">
          <cell r="AE1679" t="str">
            <v>08 - VIGENCIA ANTERIOR</v>
          </cell>
          <cell r="AP1679">
            <v>1073706</v>
          </cell>
        </row>
        <row r="1680">
          <cell r="AE1680" t="str">
            <v>08 - VIGENCIA ANTERIOR</v>
          </cell>
          <cell r="AP1680">
            <v>1280912</v>
          </cell>
        </row>
        <row r="1681">
          <cell r="AE1681" t="str">
            <v>08 - VIGENCIA ANTERIOR</v>
          </cell>
          <cell r="AP1681">
            <v>1280921</v>
          </cell>
        </row>
        <row r="1682">
          <cell r="AE1682" t="str">
            <v>01 - RENOVADA</v>
          </cell>
          <cell r="AP1682">
            <v>1575405</v>
          </cell>
        </row>
        <row r="1683">
          <cell r="AE1683" t="str">
            <v>01 - RENOVADA</v>
          </cell>
          <cell r="AP1683">
            <v>1567343</v>
          </cell>
        </row>
        <row r="1684">
          <cell r="AE1684" t="str">
            <v>05 - ANULADA EN VIGENCIA</v>
          </cell>
          <cell r="AP1684">
            <v>2009534636</v>
          </cell>
        </row>
        <row r="1685">
          <cell r="AE1685" t="str">
            <v>01 - RENOVADA</v>
          </cell>
          <cell r="AP1685">
            <v>1494409</v>
          </cell>
        </row>
        <row r="1686">
          <cell r="AE1686" t="str">
            <v>05 - ANULADA EN VIGENCIA</v>
          </cell>
          <cell r="AP1686">
            <v>2007371119</v>
          </cell>
        </row>
        <row r="1687">
          <cell r="AE1687" t="str">
            <v>05 - ANULADA EN VIGENCIA</v>
          </cell>
          <cell r="AP1687">
            <v>2008792239</v>
          </cell>
        </row>
        <row r="1688">
          <cell r="AE1688" t="str">
            <v>04 - NO RENOVADA</v>
          </cell>
          <cell r="AP1688">
            <v>70172113</v>
          </cell>
        </row>
        <row r="1689">
          <cell r="AE1689" t="str">
            <v>04 - NO RENOVADA</v>
          </cell>
          <cell r="AP1689">
            <v>70172116</v>
          </cell>
        </row>
        <row r="1690">
          <cell r="AE1690" t="str">
            <v>04 - NO RENOVADA</v>
          </cell>
          <cell r="AP1690">
            <v>967375</v>
          </cell>
        </row>
        <row r="1691">
          <cell r="AE1691" t="str">
            <v>08 - VIGENCIA ANTERIOR</v>
          </cell>
          <cell r="AP1691">
            <v>1091732</v>
          </cell>
        </row>
        <row r="1692">
          <cell r="AE1692" t="str">
            <v>01 - RENOVADA</v>
          </cell>
          <cell r="AP1692">
            <v>2012071191</v>
          </cell>
        </row>
        <row r="1693">
          <cell r="AE1693" t="str">
            <v>04 - NO RENOVADA</v>
          </cell>
          <cell r="AP1693">
            <v>1295146</v>
          </cell>
        </row>
        <row r="1694">
          <cell r="AE1694" t="str">
            <v>05 - ANULADA EN VIGENCIA</v>
          </cell>
          <cell r="AP1694">
            <v>1022881</v>
          </cell>
        </row>
        <row r="1695">
          <cell r="AE1695" t="str">
            <v>04 - NO RENOVADA</v>
          </cell>
          <cell r="AP1695">
            <v>1073712</v>
          </cell>
        </row>
        <row r="1696">
          <cell r="AE1696" t="str">
            <v>05 - ANULADA EN VIGENCIA</v>
          </cell>
          <cell r="AP1696">
            <v>7492976</v>
          </cell>
        </row>
        <row r="1697">
          <cell r="AE1697" t="str">
            <v>04 - NO RENOVADA</v>
          </cell>
          <cell r="AP1697">
            <v>7872864</v>
          </cell>
        </row>
        <row r="1698">
          <cell r="AE1698" t="str">
            <v>01 - RENOVADA</v>
          </cell>
          <cell r="AP1698">
            <v>1524774</v>
          </cell>
        </row>
        <row r="1699">
          <cell r="AE1699" t="str">
            <v>01 - RENOVADA</v>
          </cell>
          <cell r="AP1699">
            <v>9544780</v>
          </cell>
        </row>
        <row r="1700">
          <cell r="AE1700" t="str">
            <v>05 - ANULADA EN VIGENCIA</v>
          </cell>
          <cell r="AP1700">
            <v>75161</v>
          </cell>
        </row>
        <row r="1701">
          <cell r="AE1701" t="str">
            <v>01 - RENOVADA</v>
          </cell>
          <cell r="AP1701">
            <v>13131</v>
          </cell>
        </row>
        <row r="1702">
          <cell r="AE1702" t="str">
            <v>01 - RENOVADA</v>
          </cell>
          <cell r="AP1702">
            <v>13133</v>
          </cell>
        </row>
        <row r="1703">
          <cell r="AE1703" t="str">
            <v>01 - RENOVADA</v>
          </cell>
          <cell r="AP1703">
            <v>14749</v>
          </cell>
        </row>
        <row r="1704">
          <cell r="AE1704" t="str">
            <v>05 - ANULADA EN VIGENCIA</v>
          </cell>
          <cell r="AP1704">
            <v>2004491609</v>
          </cell>
        </row>
        <row r="1705">
          <cell r="AE1705" t="str">
            <v>01 - RENOVADA</v>
          </cell>
          <cell r="AP1705">
            <v>1162010400495</v>
          </cell>
        </row>
        <row r="1706">
          <cell r="AE1706" t="str">
            <v>05 - ANULADA EN VIGENCIA</v>
          </cell>
          <cell r="AP1706">
            <v>2004790946</v>
          </cell>
        </row>
        <row r="1707">
          <cell r="AE1707" t="str">
            <v>01 - RENOVADA</v>
          </cell>
          <cell r="AP1707">
            <v>2009751860</v>
          </cell>
        </row>
        <row r="1708">
          <cell r="AE1708" t="str">
            <v>05 - ANULADA EN VIGENCIA</v>
          </cell>
          <cell r="AP1708" t="str">
            <v>E0027747</v>
          </cell>
        </row>
        <row r="1709">
          <cell r="AE1709" t="str">
            <v>01 - RENOVADA</v>
          </cell>
          <cell r="AP1709">
            <v>2009823239</v>
          </cell>
        </row>
        <row r="1710">
          <cell r="AE1710" t="str">
            <v>05 - ANULADA EN VIGENCIA</v>
          </cell>
          <cell r="AP1710">
            <v>2004688061</v>
          </cell>
        </row>
        <row r="1711">
          <cell r="AE1711" t="str">
            <v>04 - NO RENOVADA</v>
          </cell>
          <cell r="AP1711">
            <v>1084660</v>
          </cell>
        </row>
        <row r="1712">
          <cell r="AE1712" t="str">
            <v>05 - ANULADA EN VIGENCIA</v>
          </cell>
          <cell r="AP1712">
            <v>1279251</v>
          </cell>
        </row>
        <row r="1713">
          <cell r="AE1713" t="str">
            <v>04 - NO RENOVADA</v>
          </cell>
          <cell r="AP1713">
            <v>3401617</v>
          </cell>
        </row>
        <row r="1714">
          <cell r="AE1714" t="str">
            <v>04 - NO RENOVADA</v>
          </cell>
          <cell r="AP1714">
            <v>1061572</v>
          </cell>
        </row>
        <row r="1715">
          <cell r="AE1715" t="str">
            <v>05 - ANULADA EN VIGENCIA</v>
          </cell>
          <cell r="AP1715">
            <v>2009010626</v>
          </cell>
        </row>
        <row r="1716">
          <cell r="AE1716" t="str">
            <v>01 - RENOVADA</v>
          </cell>
          <cell r="AP1716">
            <v>1419702</v>
          </cell>
        </row>
        <row r="1717">
          <cell r="AE1717" t="str">
            <v>01 - RENOVADA</v>
          </cell>
          <cell r="AP1717">
            <v>1515932</v>
          </cell>
        </row>
        <row r="1718">
          <cell r="AE1718" t="str">
            <v>05 - ANULADA EN VIGENCIA</v>
          </cell>
          <cell r="AP1718">
            <v>64759</v>
          </cell>
        </row>
        <row r="1719">
          <cell r="AE1719" t="str">
            <v>01 - RENOVADA</v>
          </cell>
          <cell r="AP1719">
            <v>2010766395</v>
          </cell>
        </row>
        <row r="1720">
          <cell r="AE1720" t="str">
            <v>01 - RENOVADA</v>
          </cell>
          <cell r="AP1720">
            <v>2011074691</v>
          </cell>
        </row>
        <row r="1721">
          <cell r="AE1721" t="str">
            <v>05 - ANULADA EN VIGENCIA</v>
          </cell>
          <cell r="AP1721">
            <v>2009005392</v>
          </cell>
        </row>
        <row r="1722">
          <cell r="AE1722" t="str">
            <v>04 - NO RENOVADA</v>
          </cell>
          <cell r="AP1722">
            <v>2007750713</v>
          </cell>
        </row>
        <row r="1723">
          <cell r="AE1723" t="str">
            <v>05 - ANULADA EN VIGENCIA</v>
          </cell>
          <cell r="AP1723">
            <v>76078</v>
          </cell>
        </row>
        <row r="1724">
          <cell r="AE1724" t="str">
            <v>04 - NO RENOVADA</v>
          </cell>
          <cell r="AP1724">
            <v>16856751</v>
          </cell>
        </row>
        <row r="1725">
          <cell r="AE1725" t="str">
            <v>01 - RENOVADA</v>
          </cell>
          <cell r="AP1725">
            <v>100538</v>
          </cell>
        </row>
        <row r="1726">
          <cell r="AE1726" t="str">
            <v>01 - RENOVADA</v>
          </cell>
          <cell r="AP1726">
            <v>16788882</v>
          </cell>
        </row>
        <row r="1727">
          <cell r="AE1727" t="str">
            <v>03 - PENDIENTE</v>
          </cell>
          <cell r="AP1727">
            <v>5109747731</v>
          </cell>
        </row>
        <row r="1728">
          <cell r="AE1728" t="str">
            <v>05 - ANULADA EN VIGENCIA</v>
          </cell>
          <cell r="AP1728">
            <v>64723</v>
          </cell>
        </row>
        <row r="1729">
          <cell r="AE1729" t="str">
            <v>05 - ANULADA EN VIGENCIA</v>
          </cell>
          <cell r="AP1729">
            <v>1518838</v>
          </cell>
        </row>
        <row r="1730">
          <cell r="AE1730" t="str">
            <v>01 - RENOVADA</v>
          </cell>
          <cell r="AP1730">
            <v>1543096</v>
          </cell>
        </row>
        <row r="1731">
          <cell r="AE1731" t="str">
            <v>04 - NO RENOVADA</v>
          </cell>
          <cell r="AP1731">
            <v>70190177</v>
          </cell>
        </row>
        <row r="1732">
          <cell r="AE1732" t="str">
            <v>04 - NO RENOVADA</v>
          </cell>
          <cell r="AP1732">
            <v>2005007170</v>
          </cell>
        </row>
        <row r="1733">
          <cell r="AE1733" t="str">
            <v>05 - ANULADA EN VIGENCIA</v>
          </cell>
          <cell r="AP1733">
            <v>4788</v>
          </cell>
        </row>
        <row r="1734">
          <cell r="AE1734" t="str">
            <v>05 - ANULADA EN VIGENCIA</v>
          </cell>
          <cell r="AP1734">
            <v>16746083</v>
          </cell>
        </row>
        <row r="1735">
          <cell r="AE1735" t="str">
            <v>05 - ANULADA EN VIGENCIA</v>
          </cell>
          <cell r="AP1735">
            <v>16745834</v>
          </cell>
        </row>
        <row r="1736">
          <cell r="AE1736" t="str">
            <v>05 - ANULADA EN VIGENCIA</v>
          </cell>
          <cell r="AP1736">
            <v>17226035</v>
          </cell>
        </row>
        <row r="1737">
          <cell r="AE1737" t="str">
            <v>01 - RENOVADA</v>
          </cell>
          <cell r="AP1737">
            <v>17226104</v>
          </cell>
        </row>
        <row r="1738">
          <cell r="AE1738" t="str">
            <v>01 - RENOVADA</v>
          </cell>
          <cell r="AP1738">
            <v>16782595</v>
          </cell>
        </row>
        <row r="1739">
          <cell r="AE1739" t="str">
            <v>01 - RENOVADA</v>
          </cell>
          <cell r="AP1739">
            <v>2009890565</v>
          </cell>
        </row>
        <row r="1740">
          <cell r="AE1740" t="str">
            <v>08 - VIGENCIA ANTERIOR</v>
          </cell>
          <cell r="AP1740">
            <v>7052905</v>
          </cell>
        </row>
        <row r="1741">
          <cell r="AE1741" t="str">
            <v>08 - VIGENCIA ANTERIOR</v>
          </cell>
          <cell r="AP1741">
            <v>7911050</v>
          </cell>
        </row>
        <row r="1742">
          <cell r="AE1742" t="str">
            <v>08 - VIGENCIA ANTERIOR</v>
          </cell>
          <cell r="AP1742">
            <v>7274582</v>
          </cell>
        </row>
        <row r="1743">
          <cell r="AE1743" t="str">
            <v>08 - VIGENCIA ANTERIOR</v>
          </cell>
          <cell r="AP1743">
            <v>8093527</v>
          </cell>
        </row>
        <row r="1744">
          <cell r="AE1744" t="str">
            <v>08 - VIGENCIA ANTERIOR</v>
          </cell>
          <cell r="AP1744">
            <v>852326</v>
          </cell>
        </row>
        <row r="1745">
          <cell r="AE1745" t="str">
            <v>05 - ANULADA EN VIGENCIA</v>
          </cell>
          <cell r="AP1745">
            <v>1234117</v>
          </cell>
        </row>
        <row r="1746">
          <cell r="AE1746" t="str">
            <v>01 - RENOVADA</v>
          </cell>
          <cell r="AP1746">
            <v>1492166</v>
          </cell>
        </row>
        <row r="1747">
          <cell r="AE1747" t="str">
            <v>05 - ANULADA EN VIGENCIA</v>
          </cell>
          <cell r="AP1747">
            <v>1408616</v>
          </cell>
        </row>
        <row r="1748">
          <cell r="AE1748" t="str">
            <v>05 - ANULADA EN VIGENCIA</v>
          </cell>
          <cell r="AP1748">
            <v>2009562033</v>
          </cell>
        </row>
        <row r="1749">
          <cell r="AE1749" t="str">
            <v>01 - RENOVADA</v>
          </cell>
          <cell r="AP1749">
            <v>16778100</v>
          </cell>
        </row>
        <row r="1750">
          <cell r="AE1750" t="str">
            <v>01 - RENOVADA</v>
          </cell>
          <cell r="AP1750">
            <v>1452634</v>
          </cell>
        </row>
        <row r="1751">
          <cell r="AE1751" t="str">
            <v>05 - ANULADA EN VIGENCIA</v>
          </cell>
          <cell r="AP1751">
            <v>2009882121</v>
          </cell>
        </row>
        <row r="1752">
          <cell r="AE1752" t="str">
            <v>05 - ANULADA EN VIGENCIA</v>
          </cell>
          <cell r="AP1752">
            <v>2005329054</v>
          </cell>
        </row>
        <row r="1753">
          <cell r="AE1753" t="str">
            <v>08 - VIGENCIA ANTERIOR</v>
          </cell>
          <cell r="AP1753">
            <v>2006331390</v>
          </cell>
        </row>
        <row r="1754">
          <cell r="AE1754" t="str">
            <v>01 - RENOVADA</v>
          </cell>
          <cell r="AP1754">
            <v>2009017420</v>
          </cell>
        </row>
        <row r="1755">
          <cell r="AE1755" t="str">
            <v>01 - RENOVADA</v>
          </cell>
          <cell r="AP1755">
            <v>2009890855</v>
          </cell>
        </row>
        <row r="1756">
          <cell r="AE1756" t="str">
            <v>05 - ANULADA EN VIGENCIA</v>
          </cell>
          <cell r="AP1756">
            <v>2009017775</v>
          </cell>
        </row>
        <row r="1757">
          <cell r="AE1757" t="str">
            <v>05 - ANULADA EN VIGENCIA</v>
          </cell>
          <cell r="AP1757">
            <v>1096695</v>
          </cell>
        </row>
        <row r="1758">
          <cell r="AE1758" t="str">
            <v>01 - RENOVADA</v>
          </cell>
          <cell r="AP1758">
            <v>2009849933</v>
          </cell>
        </row>
        <row r="1759">
          <cell r="AE1759" t="str">
            <v>08 - VIGENCIA ANTERIOR</v>
          </cell>
          <cell r="AP1759">
            <v>2006695648</v>
          </cell>
        </row>
        <row r="1760">
          <cell r="AE1760" t="str">
            <v>01 - RENOVADA</v>
          </cell>
          <cell r="AP1760">
            <v>2009470727</v>
          </cell>
        </row>
        <row r="1761">
          <cell r="AE1761" t="str">
            <v>01 - RENOVADA</v>
          </cell>
          <cell r="AP1761">
            <v>2008791695</v>
          </cell>
        </row>
        <row r="1762">
          <cell r="AE1762" t="str">
            <v>05 - ANULADA EN VIGENCIA</v>
          </cell>
          <cell r="AP1762">
            <v>76085</v>
          </cell>
        </row>
        <row r="1763">
          <cell r="AE1763" t="str">
            <v>01 - RENOVADA</v>
          </cell>
          <cell r="AP1763">
            <v>2008644098</v>
          </cell>
        </row>
        <row r="1764">
          <cell r="AE1764" t="str">
            <v>08 - VIGENCIA ANTERIOR</v>
          </cell>
          <cell r="AP1764">
            <v>2007166999</v>
          </cell>
        </row>
        <row r="1765">
          <cell r="AE1765" t="str">
            <v>01 - RENOVADA</v>
          </cell>
          <cell r="AP1765">
            <v>70230348</v>
          </cell>
        </row>
        <row r="1766">
          <cell r="AE1766" t="str">
            <v>08 - VIGENCIA ANTERIOR</v>
          </cell>
          <cell r="AP1766">
            <v>2006007728</v>
          </cell>
        </row>
        <row r="1767">
          <cell r="AE1767" t="str">
            <v>08 - VIGENCIA ANTERIOR</v>
          </cell>
          <cell r="AP1767">
            <v>2007010890</v>
          </cell>
        </row>
        <row r="1768">
          <cell r="AE1768" t="str">
            <v>05 - ANULADA EN VIGENCIA</v>
          </cell>
          <cell r="AP1768">
            <v>70177283</v>
          </cell>
        </row>
        <row r="1769">
          <cell r="AE1769" t="str">
            <v>01 - RENOVADA</v>
          </cell>
          <cell r="AP1769">
            <v>2009403821</v>
          </cell>
        </row>
        <row r="1770">
          <cell r="AE1770" t="str">
            <v>05 - ANULADA EN VIGENCIA</v>
          </cell>
          <cell r="AP1770">
            <v>2007561752</v>
          </cell>
        </row>
        <row r="1771">
          <cell r="AE1771" t="str">
            <v>05 - ANULADA EN VIGENCIA</v>
          </cell>
          <cell r="AP1771">
            <v>2008797581</v>
          </cell>
        </row>
        <row r="1772">
          <cell r="AE1772" t="str">
            <v>04 - NO RENOVADA</v>
          </cell>
          <cell r="AP1772">
            <v>8199084</v>
          </cell>
        </row>
        <row r="1773">
          <cell r="AE1773" t="str">
            <v>05 - ANULADA EN VIGENCIA</v>
          </cell>
          <cell r="AP1773">
            <v>2010718189</v>
          </cell>
        </row>
        <row r="1774">
          <cell r="AE1774" t="str">
            <v>05 - ANULADA EN VIGENCIA</v>
          </cell>
          <cell r="AP1774">
            <v>82508</v>
          </cell>
        </row>
        <row r="1775">
          <cell r="AE1775" t="str">
            <v>05 - ANULADA EN VIGENCIA</v>
          </cell>
          <cell r="AP1775">
            <v>36739</v>
          </cell>
        </row>
        <row r="1776">
          <cell r="AE1776" t="str">
            <v>05 - ANULADA EN VIGENCIA</v>
          </cell>
          <cell r="AP1776" t="str">
            <v>1444479-12</v>
          </cell>
        </row>
        <row r="1777">
          <cell r="AE1777" t="str">
            <v>01 - RENOVADA</v>
          </cell>
          <cell r="AP1777">
            <v>2009844271</v>
          </cell>
        </row>
        <row r="1778">
          <cell r="AE1778" t="str">
            <v>08 - VIGENCIA ANTERIOR</v>
          </cell>
          <cell r="AP1778">
            <v>1087920</v>
          </cell>
        </row>
        <row r="1779">
          <cell r="AE1779" t="str">
            <v>08 - VIGENCIA ANTERIOR</v>
          </cell>
          <cell r="AP1779">
            <v>1295102</v>
          </cell>
        </row>
        <row r="1780">
          <cell r="AE1780" t="str">
            <v>01 - RENOVADA</v>
          </cell>
          <cell r="AP1780">
            <v>1575320</v>
          </cell>
        </row>
        <row r="1781">
          <cell r="AE1781" t="str">
            <v>01 - RENOVADA</v>
          </cell>
          <cell r="AP1781">
            <v>4832</v>
          </cell>
        </row>
        <row r="1782">
          <cell r="AE1782" t="str">
            <v>05 - ANULADA EN VIGENCIA</v>
          </cell>
          <cell r="AP1782">
            <v>70158670</v>
          </cell>
        </row>
        <row r="1783">
          <cell r="AE1783" t="str">
            <v>04 - NO RENOVADA</v>
          </cell>
          <cell r="AP1783">
            <v>1010947</v>
          </cell>
        </row>
        <row r="1784">
          <cell r="AE1784" t="str">
            <v>05 - ANULADA EN VIGENCIA</v>
          </cell>
          <cell r="AP1784">
            <v>1396314</v>
          </cell>
        </row>
        <row r="1785">
          <cell r="AE1785" t="str">
            <v>08 - VIGENCIA ANTERIOR</v>
          </cell>
          <cell r="AP1785">
            <v>2004381452</v>
          </cell>
        </row>
        <row r="1786">
          <cell r="AE1786" t="str">
            <v>04 - NO RENOVADA</v>
          </cell>
          <cell r="AP1786">
            <v>2009470605</v>
          </cell>
        </row>
        <row r="1787">
          <cell r="AE1787" t="str">
            <v>05 - ANULADA EN VIGENCIA</v>
          </cell>
          <cell r="AP1787">
            <v>2009805002</v>
          </cell>
        </row>
        <row r="1788">
          <cell r="AE1788" t="str">
            <v>05 - ANULADA EN VIGENCIA</v>
          </cell>
          <cell r="AP1788">
            <v>2004612543</v>
          </cell>
        </row>
        <row r="1789">
          <cell r="AE1789" t="str">
            <v>05 - ANULADA EN VIGENCIA</v>
          </cell>
          <cell r="AP1789">
            <v>2005878564</v>
          </cell>
        </row>
        <row r="1790">
          <cell r="AE1790" t="str">
            <v>05 - ANULADA EN VIGENCIA</v>
          </cell>
          <cell r="AP1790">
            <v>1280044</v>
          </cell>
        </row>
        <row r="1791">
          <cell r="AE1791" t="str">
            <v>05 - ANULADA EN VIGENCIA</v>
          </cell>
          <cell r="AP1791">
            <v>1363917</v>
          </cell>
        </row>
        <row r="1792">
          <cell r="AE1792" t="str">
            <v>05 - ANULADA EN VIGENCIA</v>
          </cell>
          <cell r="AP1792">
            <v>2007876307</v>
          </cell>
        </row>
        <row r="1793">
          <cell r="AE1793" t="str">
            <v>04 - NO RENOVADA</v>
          </cell>
          <cell r="AP1793">
            <v>5109473524</v>
          </cell>
        </row>
        <row r="1794">
          <cell r="AE1794" t="str">
            <v>04 - NO RENOVADA</v>
          </cell>
          <cell r="AP1794">
            <v>1093234</v>
          </cell>
        </row>
        <row r="1795">
          <cell r="AE1795" t="str">
            <v>01 - RENOVADA</v>
          </cell>
          <cell r="AP1795">
            <v>70213154</v>
          </cell>
        </row>
        <row r="1796">
          <cell r="AE1796" t="str">
            <v>04 - NO RENOVADA</v>
          </cell>
          <cell r="AP1796">
            <v>1014900</v>
          </cell>
        </row>
        <row r="1797">
          <cell r="AE1797" t="str">
            <v>04 - NO RENOVADA</v>
          </cell>
          <cell r="AP1797">
            <v>2001352730</v>
          </cell>
        </row>
        <row r="1798">
          <cell r="AE1798" t="str">
            <v>05 - ANULADA EN VIGENCIA</v>
          </cell>
          <cell r="AP1798">
            <v>12410400</v>
          </cell>
        </row>
        <row r="1799">
          <cell r="AE1799" t="str">
            <v>01 - RENOVADA</v>
          </cell>
          <cell r="AP1799">
            <v>95958</v>
          </cell>
        </row>
        <row r="1800">
          <cell r="AE1800" t="str">
            <v>01 - RENOVADA</v>
          </cell>
          <cell r="AP1800">
            <v>2009465508</v>
          </cell>
        </row>
        <row r="1801">
          <cell r="AE1801" t="str">
            <v>08 - VIGENCIA ANTERIOR</v>
          </cell>
          <cell r="AP1801">
            <v>2006694166</v>
          </cell>
        </row>
        <row r="1802">
          <cell r="AE1802" t="str">
            <v>01 - RENOVADA</v>
          </cell>
          <cell r="AP1802">
            <v>2009404314</v>
          </cell>
        </row>
        <row r="1803">
          <cell r="AE1803" t="str">
            <v>01 - RENOVADA</v>
          </cell>
          <cell r="AP1803">
            <v>2009566670</v>
          </cell>
        </row>
        <row r="1804">
          <cell r="AE1804" t="str">
            <v>01 - RENOVADA</v>
          </cell>
          <cell r="AP1804">
            <v>2009890639</v>
          </cell>
        </row>
        <row r="1805">
          <cell r="AE1805" t="str">
            <v>05 - ANULADA EN VIGENCIA</v>
          </cell>
          <cell r="AP1805">
            <v>2006212908</v>
          </cell>
        </row>
        <row r="1806">
          <cell r="AE1806" t="str">
            <v>05 - ANULADA EN VIGENCIA</v>
          </cell>
          <cell r="AP1806">
            <v>74216</v>
          </cell>
        </row>
        <row r="1807">
          <cell r="AE1807" t="str">
            <v>01 - RENOVADA</v>
          </cell>
          <cell r="AP1807">
            <v>2011463307</v>
          </cell>
        </row>
        <row r="1808">
          <cell r="AE1808" t="str">
            <v>05 - ANULADA EN VIGENCIA</v>
          </cell>
          <cell r="AP1808">
            <v>35351</v>
          </cell>
        </row>
        <row r="1809">
          <cell r="AE1809" t="str">
            <v>05 - ANULADA EN VIGENCIA</v>
          </cell>
          <cell r="AP1809">
            <v>28587</v>
          </cell>
        </row>
        <row r="1810">
          <cell r="AE1810" t="str">
            <v>05 - ANULADA EN VIGENCIA</v>
          </cell>
          <cell r="AP1810">
            <v>56674</v>
          </cell>
        </row>
        <row r="1811">
          <cell r="AE1811" t="str">
            <v>05 - ANULADA EN VIGENCIA</v>
          </cell>
          <cell r="AP1811">
            <v>16782630</v>
          </cell>
        </row>
        <row r="1812">
          <cell r="AE1812" t="str">
            <v>01 - RENOVADA</v>
          </cell>
          <cell r="AP1812">
            <v>2010511434</v>
          </cell>
        </row>
        <row r="1813">
          <cell r="AE1813" t="str">
            <v>01 - RENOVADA</v>
          </cell>
          <cell r="AP1813">
            <v>10896</v>
          </cell>
        </row>
        <row r="1814">
          <cell r="AE1814" t="str">
            <v>05 - ANULADA EN VIGENCIA</v>
          </cell>
          <cell r="AP1814">
            <v>76107</v>
          </cell>
        </row>
        <row r="1815">
          <cell r="AE1815" t="str">
            <v>05 - ANULADA EN VIGENCIA</v>
          </cell>
          <cell r="AP1815">
            <v>16578311</v>
          </cell>
        </row>
        <row r="1816">
          <cell r="AE1816" t="str">
            <v>01 - RENOVADA</v>
          </cell>
          <cell r="AP1816">
            <v>71272</v>
          </cell>
        </row>
        <row r="1817">
          <cell r="AE1817" t="str">
            <v>01 - RENOVADA</v>
          </cell>
          <cell r="AP1817">
            <v>2009556269</v>
          </cell>
        </row>
        <row r="1818">
          <cell r="AE1818" t="str">
            <v>01 - RENOVADA</v>
          </cell>
          <cell r="AP1818">
            <v>2008797469</v>
          </cell>
        </row>
        <row r="1819">
          <cell r="AE1819" t="str">
            <v>01 - RENOVADA</v>
          </cell>
          <cell r="AP1819">
            <v>54366</v>
          </cell>
        </row>
        <row r="1820">
          <cell r="AE1820" t="str">
            <v>01 - RENOVADA</v>
          </cell>
          <cell r="AP1820">
            <v>54219</v>
          </cell>
        </row>
        <row r="1821">
          <cell r="AE1821" t="str">
            <v>05 - ANULADA EN VIGENCIA</v>
          </cell>
          <cell r="AP1821">
            <v>529232</v>
          </cell>
        </row>
        <row r="1822">
          <cell r="AE1822" t="str">
            <v>05 - ANULADA EN VIGENCIA</v>
          </cell>
          <cell r="AP1822">
            <v>985705</v>
          </cell>
        </row>
        <row r="1823">
          <cell r="AE1823" t="str">
            <v>08 - VIGENCIA ANTERIOR</v>
          </cell>
          <cell r="AP1823">
            <v>1092231</v>
          </cell>
        </row>
        <row r="1824">
          <cell r="AE1824" t="str">
            <v>08 - VIGENCIA ANTERIOR</v>
          </cell>
          <cell r="AP1824">
            <v>1294402</v>
          </cell>
        </row>
        <row r="1825">
          <cell r="AE1825" t="str">
            <v>01 - RENOVADA</v>
          </cell>
          <cell r="AP1825">
            <v>1573325</v>
          </cell>
        </row>
        <row r="1826">
          <cell r="AE1826" t="str">
            <v>05 - ANULADA EN VIGENCIA</v>
          </cell>
          <cell r="AP1826">
            <v>72743</v>
          </cell>
        </row>
        <row r="1827">
          <cell r="AE1827" t="str">
            <v>05 - ANULADA EN VIGENCIA</v>
          </cell>
          <cell r="AP1827">
            <v>90476</v>
          </cell>
        </row>
        <row r="1828">
          <cell r="AE1828" t="str">
            <v>05 - ANULADA EN VIGENCIA</v>
          </cell>
          <cell r="AP1828">
            <v>62044</v>
          </cell>
        </row>
        <row r="1829">
          <cell r="AE1829" t="str">
            <v>04 - NO RENOVADA</v>
          </cell>
          <cell r="AP1829">
            <v>30152318</v>
          </cell>
        </row>
        <row r="1830">
          <cell r="AE1830" t="str">
            <v>04 - NO RENOVADA</v>
          </cell>
          <cell r="AP1830">
            <v>73095</v>
          </cell>
        </row>
        <row r="1831">
          <cell r="AE1831" t="str">
            <v>08 - VIGENCIA ANTERIOR</v>
          </cell>
          <cell r="AP1831">
            <v>2007809670</v>
          </cell>
        </row>
        <row r="1832">
          <cell r="AE1832" t="str">
            <v>03 - PENDIENTE</v>
          </cell>
          <cell r="AP1832">
            <v>2009000236</v>
          </cell>
        </row>
        <row r="1833">
          <cell r="AE1833" t="str">
            <v>05 - ANULADA EN VIGENCIA</v>
          </cell>
          <cell r="AP1833">
            <v>1402640</v>
          </cell>
        </row>
        <row r="1834">
          <cell r="AE1834" t="str">
            <v>05 - ANULADA EN VIGENCIA</v>
          </cell>
          <cell r="AP1834">
            <v>505201</v>
          </cell>
        </row>
        <row r="1835">
          <cell r="AE1835" t="str">
            <v>08 - VIGENCIA ANTERIOR</v>
          </cell>
          <cell r="AP1835">
            <v>1385933</v>
          </cell>
        </row>
        <row r="1836">
          <cell r="AE1836" t="str">
            <v>08 - VIGENCIA ANTERIOR</v>
          </cell>
          <cell r="AP1836">
            <v>1394185</v>
          </cell>
        </row>
        <row r="1837">
          <cell r="AE1837" t="str">
            <v>08 - VIGENCIA ANTERIOR</v>
          </cell>
          <cell r="AP1837">
            <v>1304269</v>
          </cell>
        </row>
        <row r="1838">
          <cell r="AE1838" t="str">
            <v>03 - PENDIENTE</v>
          </cell>
          <cell r="AP1838">
            <v>1475768</v>
          </cell>
        </row>
        <row r="1839">
          <cell r="AE1839" t="str">
            <v>03 - PENDIENTE</v>
          </cell>
          <cell r="AP1839">
            <v>1475762</v>
          </cell>
        </row>
        <row r="1840">
          <cell r="AE1840" t="str">
            <v>05 - ANULADA EN VIGENCIA</v>
          </cell>
          <cell r="AP1840">
            <v>50038</v>
          </cell>
        </row>
        <row r="1841">
          <cell r="AE1841" t="str">
            <v>03 - PENDIENTE</v>
          </cell>
          <cell r="AP1841">
            <v>74699</v>
          </cell>
        </row>
        <row r="1842">
          <cell r="AE1842" t="str">
            <v>01 - RENOVADA</v>
          </cell>
          <cell r="AP1842">
            <v>102397614</v>
          </cell>
        </row>
        <row r="1843">
          <cell r="AE1843" t="str">
            <v>01 - RENOVADA</v>
          </cell>
          <cell r="AP1843">
            <v>2009501582</v>
          </cell>
        </row>
        <row r="1844">
          <cell r="AE1844" t="str">
            <v>05 - ANULADA EN VIGENCIA</v>
          </cell>
          <cell r="AP1844">
            <v>59989</v>
          </cell>
        </row>
        <row r="1845">
          <cell r="AE1845" t="str">
            <v>05 - ANULADA EN VIGENCIA</v>
          </cell>
          <cell r="AP1845">
            <v>59989</v>
          </cell>
        </row>
        <row r="1846">
          <cell r="AE1846" t="str">
            <v>05 - ANULADA EN VIGENCIA</v>
          </cell>
          <cell r="AP1846">
            <v>2006929864</v>
          </cell>
        </row>
        <row r="1847">
          <cell r="AE1847" t="str">
            <v>01 - RENOVADA</v>
          </cell>
          <cell r="AP1847">
            <v>829943</v>
          </cell>
        </row>
        <row r="1848">
          <cell r="AE1848" t="str">
            <v>01 - RENOVADA</v>
          </cell>
          <cell r="AP1848">
            <v>1543104</v>
          </cell>
        </row>
        <row r="1849">
          <cell r="AE1849" t="str">
            <v>08 - VIGENCIA ANTERIOR</v>
          </cell>
          <cell r="AP1849">
            <v>2007349769</v>
          </cell>
        </row>
        <row r="1850">
          <cell r="AE1850" t="str">
            <v>05 - ANULADA EN VIGENCIA</v>
          </cell>
          <cell r="AP1850">
            <v>1447034</v>
          </cell>
        </row>
        <row r="1851">
          <cell r="AE1851" t="str">
            <v>08 - VIGENCIA ANTERIOR</v>
          </cell>
          <cell r="AP1851">
            <v>2004798950</v>
          </cell>
        </row>
        <row r="1852">
          <cell r="AE1852" t="str">
            <v>04 - NO RENOVADA</v>
          </cell>
          <cell r="AP1852">
            <v>2004947120</v>
          </cell>
        </row>
        <row r="1853">
          <cell r="AE1853" t="str">
            <v>03 - PENDIENTE</v>
          </cell>
          <cell r="AP1853">
            <v>826253</v>
          </cell>
        </row>
        <row r="1854">
          <cell r="AE1854" t="str">
            <v>05 - ANULADA EN VIGENCIA</v>
          </cell>
          <cell r="AP1854">
            <v>15423835</v>
          </cell>
        </row>
        <row r="1855">
          <cell r="AE1855" t="str">
            <v>04 - NO RENOVADA</v>
          </cell>
          <cell r="AP1855">
            <v>962848</v>
          </cell>
        </row>
        <row r="1856">
          <cell r="AE1856" t="str">
            <v>04 - NO RENOVADA</v>
          </cell>
          <cell r="AP1856">
            <v>1062674</v>
          </cell>
        </row>
        <row r="1857">
          <cell r="AE1857" t="str">
            <v>01 - RENOVADA</v>
          </cell>
          <cell r="AP1857">
            <v>80715</v>
          </cell>
        </row>
        <row r="1858">
          <cell r="AE1858" t="str">
            <v>05 - ANULADA EN VIGENCIA</v>
          </cell>
          <cell r="AP1858">
            <v>997348</v>
          </cell>
        </row>
        <row r="1859">
          <cell r="AE1859" t="str">
            <v>05 - ANULADA EN VIGENCIA</v>
          </cell>
          <cell r="AP1859">
            <v>1305271</v>
          </cell>
        </row>
        <row r="1860">
          <cell r="AE1860" t="str">
            <v>08 - VIGENCIA ANTERIOR</v>
          </cell>
          <cell r="AP1860">
            <v>1389284</v>
          </cell>
        </row>
        <row r="1861">
          <cell r="AE1861" t="str">
            <v>08 - VIGENCIA ANTERIOR</v>
          </cell>
          <cell r="AP1861">
            <v>1305271</v>
          </cell>
        </row>
        <row r="1862">
          <cell r="AE1862" t="str">
            <v>03 - PENDIENTE</v>
          </cell>
          <cell r="AP1862">
            <v>1475760</v>
          </cell>
        </row>
        <row r="1863">
          <cell r="AE1863" t="str">
            <v>05 - ANULADA EN VIGENCIA</v>
          </cell>
          <cell r="AP1863">
            <v>37734</v>
          </cell>
        </row>
        <row r="1864">
          <cell r="AE1864" t="str">
            <v>05 - ANULADA EN VIGENCIA</v>
          </cell>
          <cell r="AP1864">
            <v>1232131</v>
          </cell>
        </row>
        <row r="1865">
          <cell r="AE1865" t="str">
            <v>05 - ANULADA EN VIGENCIA</v>
          </cell>
          <cell r="AP1865">
            <v>57272</v>
          </cell>
        </row>
        <row r="1866">
          <cell r="AE1866" t="str">
            <v>05 - ANULADA EN VIGENCIA</v>
          </cell>
          <cell r="AP1866">
            <v>1073723</v>
          </cell>
        </row>
        <row r="1867">
          <cell r="AE1867" t="str">
            <v>05 - ANULADA EN VIGENCIA</v>
          </cell>
          <cell r="AP1867">
            <v>71445</v>
          </cell>
        </row>
        <row r="1868">
          <cell r="AE1868" t="str">
            <v>05 - ANULADA EN VIGENCIA</v>
          </cell>
          <cell r="AP1868">
            <v>2004690473</v>
          </cell>
        </row>
        <row r="1869">
          <cell r="AE1869" t="str">
            <v>08 - VIGENCIA ANTERIOR</v>
          </cell>
          <cell r="AP1869">
            <v>1069443</v>
          </cell>
        </row>
        <row r="1870">
          <cell r="AE1870" t="str">
            <v>08 - VIGENCIA ANTERIOR</v>
          </cell>
          <cell r="AP1870">
            <v>1276120</v>
          </cell>
        </row>
        <row r="1871">
          <cell r="AE1871" t="str">
            <v>01 - RENOVADA</v>
          </cell>
          <cell r="AP1871">
            <v>1547935</v>
          </cell>
        </row>
        <row r="1872">
          <cell r="AE1872" t="str">
            <v>05 - ANULADA EN VIGENCIA</v>
          </cell>
          <cell r="AP1872">
            <v>1368362</v>
          </cell>
        </row>
        <row r="1873">
          <cell r="AE1873" t="str">
            <v>01 - RENOVADA</v>
          </cell>
          <cell r="AP1873">
            <v>1573343</v>
          </cell>
        </row>
        <row r="1874">
          <cell r="AE1874" t="str">
            <v>05 - ANULADA EN VIGENCIA</v>
          </cell>
          <cell r="AP1874">
            <v>794762</v>
          </cell>
        </row>
        <row r="1875">
          <cell r="AE1875" t="str">
            <v>04 - NO RENOVADA</v>
          </cell>
          <cell r="AP1875">
            <v>612167095</v>
          </cell>
        </row>
        <row r="1876">
          <cell r="AE1876" t="str">
            <v>01 - RENOVADA</v>
          </cell>
          <cell r="AP1876">
            <v>2009562308</v>
          </cell>
        </row>
        <row r="1877">
          <cell r="AE1877" t="str">
            <v>05 - ANULADA EN VIGENCIA</v>
          </cell>
          <cell r="AP1877">
            <v>41158</v>
          </cell>
        </row>
        <row r="1878">
          <cell r="AE1878" t="str">
            <v>08 - VIGENCIA ANTERIOR</v>
          </cell>
          <cell r="AP1878">
            <v>2007551123</v>
          </cell>
        </row>
        <row r="1879">
          <cell r="AE1879" t="str">
            <v>01 - RENOVADA</v>
          </cell>
          <cell r="AP1879">
            <v>2008798205</v>
          </cell>
        </row>
        <row r="1880">
          <cell r="AE1880" t="str">
            <v>01 - RENOVADA</v>
          </cell>
          <cell r="AP1880">
            <v>1493794</v>
          </cell>
        </row>
        <row r="1881">
          <cell r="AE1881" t="str">
            <v>01 - RENOVADA</v>
          </cell>
          <cell r="AP1881">
            <v>2010090787</v>
          </cell>
        </row>
        <row r="1882">
          <cell r="AE1882" t="str">
            <v>05 - ANULADA EN VIGENCIA</v>
          </cell>
          <cell r="AP1882">
            <v>16706299</v>
          </cell>
        </row>
        <row r="1883">
          <cell r="AE1883" t="str">
            <v>01 - RENOVADA</v>
          </cell>
          <cell r="AP1883">
            <v>2009534743</v>
          </cell>
        </row>
        <row r="1884">
          <cell r="AE1884" t="str">
            <v>01 - RENOVADA</v>
          </cell>
          <cell r="AP1884">
            <v>2009750609</v>
          </cell>
        </row>
        <row r="1885">
          <cell r="AE1885" t="str">
            <v>04 - NO RENOVADA</v>
          </cell>
          <cell r="AP1885">
            <v>2004947209</v>
          </cell>
        </row>
        <row r="1886">
          <cell r="AE1886" t="str">
            <v>05 - ANULADA EN VIGENCIA</v>
          </cell>
          <cell r="AP1886">
            <v>2009000175</v>
          </cell>
        </row>
        <row r="1887">
          <cell r="AE1887" t="str">
            <v>05 - ANULADA EN VIGENCIA</v>
          </cell>
          <cell r="AP1887">
            <v>2004110033</v>
          </cell>
        </row>
        <row r="1888">
          <cell r="AE1888" t="str">
            <v>05 - ANULADA EN VIGENCIA</v>
          </cell>
          <cell r="AP1888">
            <v>1073736</v>
          </cell>
        </row>
        <row r="1889">
          <cell r="AE1889" t="str">
            <v>05 - ANULADA EN VIGENCIA</v>
          </cell>
          <cell r="AP1889">
            <v>2007415574</v>
          </cell>
        </row>
        <row r="1890">
          <cell r="AE1890" t="str">
            <v>01 - RENOVADA</v>
          </cell>
          <cell r="AP1890">
            <v>1528105</v>
          </cell>
        </row>
        <row r="1891">
          <cell r="AE1891" t="str">
            <v>05 - ANULADA EN VIGENCIA</v>
          </cell>
          <cell r="AP1891">
            <v>2009005111</v>
          </cell>
        </row>
        <row r="1892">
          <cell r="AE1892" t="str">
            <v>05 - ANULADA EN VIGENCIA</v>
          </cell>
          <cell r="AP1892">
            <v>2008783503</v>
          </cell>
        </row>
        <row r="1893">
          <cell r="AE1893" t="str">
            <v>05 - ANULADA EN VIGENCIA</v>
          </cell>
          <cell r="AP1893">
            <v>49418</v>
          </cell>
        </row>
        <row r="1894">
          <cell r="AE1894" t="str">
            <v>05 - ANULADA EN VIGENCIA</v>
          </cell>
          <cell r="AP1894">
            <v>82848</v>
          </cell>
        </row>
        <row r="1895">
          <cell r="AE1895" t="str">
            <v>08 - VIGENCIA ANTERIOR</v>
          </cell>
          <cell r="AP1895">
            <v>1073699</v>
          </cell>
        </row>
        <row r="1896">
          <cell r="AE1896" t="str">
            <v>08 - VIGENCIA ANTERIOR</v>
          </cell>
          <cell r="AP1896">
            <v>1295167</v>
          </cell>
        </row>
        <row r="1897">
          <cell r="AE1897" t="str">
            <v>01 - RENOVADA</v>
          </cell>
          <cell r="AP1897">
            <v>1573356</v>
          </cell>
        </row>
        <row r="1898">
          <cell r="AE1898" t="str">
            <v>05 - ANULADA EN VIGENCIA</v>
          </cell>
          <cell r="AP1898">
            <v>932208</v>
          </cell>
        </row>
        <row r="1899">
          <cell r="AE1899" t="str">
            <v>05 - ANULADA EN VIGENCIA</v>
          </cell>
          <cell r="AP1899">
            <v>937386</v>
          </cell>
        </row>
        <row r="1900">
          <cell r="AE1900" t="str">
            <v>05 - ANULADA EN VIGENCIA</v>
          </cell>
          <cell r="AP1900">
            <v>1026277</v>
          </cell>
        </row>
        <row r="1901">
          <cell r="AE1901" t="str">
            <v>05 - ANULADA EN VIGENCIA</v>
          </cell>
          <cell r="AP1901">
            <v>1028344</v>
          </cell>
        </row>
        <row r="1902">
          <cell r="AE1902" t="str">
            <v>05 - ANULADA EN VIGENCIA</v>
          </cell>
          <cell r="AP1902">
            <v>1232138</v>
          </cell>
        </row>
        <row r="1903">
          <cell r="AE1903" t="str">
            <v>05 - ANULADA EN VIGENCIA</v>
          </cell>
          <cell r="AP1903">
            <v>47555</v>
          </cell>
        </row>
        <row r="1904">
          <cell r="AE1904" t="str">
            <v>05 - ANULADA EN VIGENCIA</v>
          </cell>
          <cell r="AP1904">
            <v>79375</v>
          </cell>
        </row>
        <row r="1905">
          <cell r="AE1905" t="str">
            <v>01 - RENOVADA</v>
          </cell>
          <cell r="AP1905">
            <v>5258</v>
          </cell>
        </row>
        <row r="1906">
          <cell r="AE1906" t="str">
            <v>05 - ANULADA EN VIGENCIA</v>
          </cell>
          <cell r="AP1906">
            <v>49416</v>
          </cell>
        </row>
        <row r="1907">
          <cell r="AE1907" t="str">
            <v>08 - VIGENCIA ANTERIOR</v>
          </cell>
          <cell r="AP1907">
            <v>2005007364</v>
          </cell>
        </row>
        <row r="1908">
          <cell r="AE1908" t="str">
            <v>03 - PENDIENTE</v>
          </cell>
          <cell r="AP1908">
            <v>2009000304</v>
          </cell>
        </row>
        <row r="1909">
          <cell r="AE1909" t="str">
            <v>05 - ANULADA EN VIGENCIA</v>
          </cell>
          <cell r="AP1909">
            <v>47589</v>
          </cell>
        </row>
        <row r="1910">
          <cell r="AE1910" t="str">
            <v>05 - ANULADA EN VIGENCIA</v>
          </cell>
          <cell r="AP1910">
            <v>3012100065564</v>
          </cell>
        </row>
        <row r="1911">
          <cell r="AE1911" t="str">
            <v>01 - RENOVADA</v>
          </cell>
          <cell r="AP1911">
            <v>70250306</v>
          </cell>
        </row>
        <row r="1912">
          <cell r="AE1912" t="str">
            <v>05 - ANULADA EN VIGENCIA</v>
          </cell>
          <cell r="AP1912">
            <v>10056808</v>
          </cell>
        </row>
        <row r="1913">
          <cell r="AE1913" t="str">
            <v>05 - ANULADA EN VIGENCIA</v>
          </cell>
          <cell r="AP1913">
            <v>2003896275</v>
          </cell>
        </row>
        <row r="1914">
          <cell r="AE1914" t="str">
            <v>05 - ANULADA EN VIGENCIA</v>
          </cell>
          <cell r="AP1914">
            <v>16747855</v>
          </cell>
        </row>
        <row r="1915">
          <cell r="AE1915" t="str">
            <v>01 - RENOVADA</v>
          </cell>
          <cell r="AP1915">
            <v>15959</v>
          </cell>
        </row>
        <row r="1916">
          <cell r="AE1916" t="str">
            <v>01 - RENOVADA</v>
          </cell>
          <cell r="AP1916">
            <v>2008798153</v>
          </cell>
        </row>
        <row r="1917">
          <cell r="AE1917" t="str">
            <v>08 - VIGENCIA ANTERIOR</v>
          </cell>
          <cell r="AP1917">
            <v>2006448486</v>
          </cell>
        </row>
        <row r="1918">
          <cell r="AE1918" t="str">
            <v>01 - RENOVADA</v>
          </cell>
          <cell r="AP1918">
            <v>2009005408</v>
          </cell>
        </row>
        <row r="1919">
          <cell r="AE1919" t="str">
            <v>05 - ANULADA EN VIGENCIA</v>
          </cell>
          <cell r="AP1919">
            <v>2009823643</v>
          </cell>
        </row>
        <row r="1920">
          <cell r="AE1920" t="str">
            <v>04 - NO RENOVADA</v>
          </cell>
          <cell r="AP1920">
            <v>1239190</v>
          </cell>
        </row>
        <row r="1921">
          <cell r="AE1921" t="str">
            <v>04 - NO RENOVADA</v>
          </cell>
          <cell r="AP1921">
            <v>124245513</v>
          </cell>
        </row>
        <row r="1922">
          <cell r="AE1922" t="str">
            <v>05 - ANULADA EN VIGENCIA</v>
          </cell>
          <cell r="AP1922">
            <v>2006061449</v>
          </cell>
        </row>
        <row r="1923">
          <cell r="AE1923" t="str">
            <v>04 - NO RENOVADA</v>
          </cell>
          <cell r="AP1923">
            <v>993627</v>
          </cell>
        </row>
        <row r="1924">
          <cell r="AE1924" t="str">
            <v>05 - ANULADA EN VIGENCIA</v>
          </cell>
          <cell r="AP1924">
            <v>1097010</v>
          </cell>
        </row>
        <row r="1925">
          <cell r="AE1925" t="str">
            <v>04 - NO RENOVADA</v>
          </cell>
          <cell r="AP1925">
            <v>1298396</v>
          </cell>
        </row>
        <row r="1926">
          <cell r="AE1926" t="str">
            <v>04 - NO RENOVADA</v>
          </cell>
          <cell r="AP1926">
            <v>1298701</v>
          </cell>
        </row>
        <row r="1927">
          <cell r="AE1927" t="str">
            <v>04 - NO RENOVADA</v>
          </cell>
          <cell r="AP1927">
            <v>1298721</v>
          </cell>
        </row>
        <row r="1928">
          <cell r="AE1928" t="str">
            <v>04 - NO RENOVADA</v>
          </cell>
          <cell r="AP1928">
            <v>1300526</v>
          </cell>
        </row>
        <row r="1929">
          <cell r="AE1929" t="str">
            <v>05 - ANULADA EN VIGENCIA</v>
          </cell>
          <cell r="AP1929">
            <v>1065252</v>
          </cell>
        </row>
        <row r="1930">
          <cell r="AE1930" t="str">
            <v>01 - RENOVADA</v>
          </cell>
          <cell r="AP1930">
            <v>768638</v>
          </cell>
        </row>
        <row r="1931">
          <cell r="AE1931" t="str">
            <v>05 - ANULADA EN VIGENCIA</v>
          </cell>
          <cell r="AP1931">
            <v>70185798</v>
          </cell>
        </row>
        <row r="1932">
          <cell r="AE1932" t="str">
            <v>05 - ANULADA EN VIGENCIA</v>
          </cell>
          <cell r="AP1932">
            <v>2009890849</v>
          </cell>
        </row>
        <row r="1933">
          <cell r="AE1933" t="str">
            <v>04 - NO RENOVADA</v>
          </cell>
          <cell r="AP1933">
            <v>1279192</v>
          </cell>
        </row>
        <row r="1934">
          <cell r="AE1934" t="str">
            <v>04 - NO RENOVADA</v>
          </cell>
          <cell r="AP1934">
            <v>2009471430</v>
          </cell>
        </row>
        <row r="1935">
          <cell r="AE1935" t="str">
            <v>05 - ANULADA EN VIGENCIA</v>
          </cell>
          <cell r="AP1935">
            <v>70132472</v>
          </cell>
        </row>
        <row r="1936">
          <cell r="AE1936" t="str">
            <v>01 - RENOVADA</v>
          </cell>
          <cell r="AP1936">
            <v>70215251</v>
          </cell>
        </row>
        <row r="1937">
          <cell r="AE1937" t="str">
            <v>08 - VIGENCIA ANTERIOR</v>
          </cell>
          <cell r="AP1937">
            <v>1045855</v>
          </cell>
        </row>
        <row r="1938">
          <cell r="AE1938" t="str">
            <v>05 - ANULADA EN VIGENCIA</v>
          </cell>
          <cell r="AP1938">
            <v>1244153</v>
          </cell>
        </row>
        <row r="1939">
          <cell r="AE1939" t="str">
            <v>04 - NO RENOVADA</v>
          </cell>
          <cell r="AP1939">
            <v>2006835764</v>
          </cell>
        </row>
        <row r="1940">
          <cell r="AE1940" t="str">
            <v>05 - ANULADA EN VIGENCIA</v>
          </cell>
          <cell r="AP1940">
            <v>2010900057</v>
          </cell>
        </row>
        <row r="1941">
          <cell r="AE1941" t="str">
            <v>01 - RENOVADA</v>
          </cell>
          <cell r="AP1941">
            <v>1563812</v>
          </cell>
        </row>
        <row r="1942">
          <cell r="AE1942" t="str">
            <v>01 - RENOVADA</v>
          </cell>
          <cell r="AP1942">
            <v>2009877243</v>
          </cell>
        </row>
        <row r="1943">
          <cell r="AE1943" t="str">
            <v>01 - RENOVADA</v>
          </cell>
          <cell r="AP1943">
            <v>2009501521</v>
          </cell>
        </row>
        <row r="1944">
          <cell r="AE1944" t="str">
            <v>04 - NO RENOVADA</v>
          </cell>
          <cell r="AP1944">
            <v>2005451069</v>
          </cell>
        </row>
        <row r="1945">
          <cell r="AE1945" t="str">
            <v>04 - NO RENOVADA</v>
          </cell>
          <cell r="AP1945">
            <v>2006809185</v>
          </cell>
        </row>
        <row r="1946">
          <cell r="AE1946" t="str">
            <v>04 - NO RENOVADA</v>
          </cell>
          <cell r="AP1946">
            <v>7246100</v>
          </cell>
        </row>
        <row r="1947">
          <cell r="AE1947" t="str">
            <v>04 - NO RENOVADA</v>
          </cell>
          <cell r="AP1947">
            <v>8079442</v>
          </cell>
        </row>
        <row r="1948">
          <cell r="AE1948" t="str">
            <v>01 - RENOVADA</v>
          </cell>
          <cell r="AP1948">
            <v>54357</v>
          </cell>
        </row>
        <row r="1949">
          <cell r="AE1949" t="str">
            <v>04 - NO RENOVADA</v>
          </cell>
          <cell r="AP1949" t="str">
            <v>E0030057</v>
          </cell>
        </row>
        <row r="1950">
          <cell r="AE1950" t="str">
            <v>01 - RENOVADA</v>
          </cell>
          <cell r="AP1950">
            <v>72116</v>
          </cell>
        </row>
        <row r="1951">
          <cell r="AE1951" t="str">
            <v>01 - RENOVADA</v>
          </cell>
          <cell r="AP1951">
            <v>2008681278</v>
          </cell>
        </row>
        <row r="1952">
          <cell r="AE1952" t="str">
            <v>05 - ANULADA EN VIGENCIA</v>
          </cell>
          <cell r="AP1952">
            <v>2005979069</v>
          </cell>
        </row>
        <row r="1953">
          <cell r="AE1953" t="str">
            <v>04 - NO RENOVADA</v>
          </cell>
          <cell r="AP1953">
            <v>6107144</v>
          </cell>
        </row>
        <row r="1954">
          <cell r="AE1954" t="str">
            <v>04 - NO RENOVADA</v>
          </cell>
          <cell r="AP1954">
            <v>1073704</v>
          </cell>
        </row>
        <row r="1955">
          <cell r="AE1955" t="str">
            <v>01 - RENOVADA</v>
          </cell>
          <cell r="AP1955">
            <v>135252324</v>
          </cell>
        </row>
        <row r="1956">
          <cell r="AE1956" t="str">
            <v>05 - ANULADA EN VIGENCIA</v>
          </cell>
          <cell r="AP1956">
            <v>133684407</v>
          </cell>
        </row>
        <row r="1957">
          <cell r="AE1957" t="str">
            <v>05 - ANULADA EN VIGENCIA</v>
          </cell>
          <cell r="AP1957">
            <v>16863384</v>
          </cell>
        </row>
        <row r="1958">
          <cell r="AE1958" t="str">
            <v>05 - ANULADA EN VIGENCIA</v>
          </cell>
          <cell r="AP1958">
            <v>71751</v>
          </cell>
        </row>
        <row r="1959">
          <cell r="AE1959" t="str">
            <v>01 - RENOVADA</v>
          </cell>
          <cell r="AP1959">
            <v>5264</v>
          </cell>
        </row>
        <row r="1960">
          <cell r="AE1960" t="str">
            <v>08 - VIGENCIA ANTERIOR</v>
          </cell>
          <cell r="AP1960">
            <v>1019817</v>
          </cell>
        </row>
        <row r="1961">
          <cell r="AE1961" t="str">
            <v>05 - ANULADA EN VIGENCIA</v>
          </cell>
          <cell r="AP1961">
            <v>1408098</v>
          </cell>
        </row>
        <row r="1962">
          <cell r="AE1962" t="str">
            <v>01 - RENOVADA</v>
          </cell>
          <cell r="AP1962">
            <v>90574</v>
          </cell>
        </row>
        <row r="1963">
          <cell r="AE1963" t="str">
            <v>05 - ANULADA EN VIGENCIA</v>
          </cell>
          <cell r="AP1963">
            <v>2008783411</v>
          </cell>
        </row>
        <row r="1964">
          <cell r="AE1964" t="str">
            <v>01 - RENOVADA</v>
          </cell>
          <cell r="AP1964">
            <v>1549874</v>
          </cell>
        </row>
        <row r="1965">
          <cell r="AE1965" t="str">
            <v>01 - RENOVADA</v>
          </cell>
          <cell r="AP1965">
            <v>2009813460</v>
          </cell>
        </row>
        <row r="1966">
          <cell r="AE1966" t="str">
            <v>05 - ANULADA EN VIGENCIA</v>
          </cell>
          <cell r="AP1966">
            <v>863463</v>
          </cell>
        </row>
        <row r="1967">
          <cell r="AE1967" t="str">
            <v>08 - VIGENCIA ANTERIOR</v>
          </cell>
          <cell r="AP1967">
            <v>1087928</v>
          </cell>
        </row>
        <row r="1968">
          <cell r="AE1968" t="str">
            <v>08 - VIGENCIA ANTERIOR</v>
          </cell>
          <cell r="AP1968">
            <v>1294401</v>
          </cell>
        </row>
        <row r="1969">
          <cell r="AE1969" t="str">
            <v>01 - RENOVADA</v>
          </cell>
          <cell r="AP1969">
            <v>1573381</v>
          </cell>
        </row>
        <row r="1970">
          <cell r="AE1970" t="str">
            <v>05 - ANULADA EN VIGENCIA</v>
          </cell>
          <cell r="AP1970">
            <v>2008798246</v>
          </cell>
        </row>
        <row r="1971">
          <cell r="AE1971" t="str">
            <v>05 - ANULADA EN VIGENCIA</v>
          </cell>
          <cell r="AP1971">
            <v>1463095</v>
          </cell>
        </row>
        <row r="1972">
          <cell r="AE1972" t="str">
            <v>04 - NO RENOVADA</v>
          </cell>
          <cell r="AP1972">
            <v>1382595</v>
          </cell>
        </row>
        <row r="1973">
          <cell r="AE1973" t="str">
            <v>01 - RENOVADA</v>
          </cell>
          <cell r="AP1973">
            <v>70218468</v>
          </cell>
        </row>
        <row r="1974">
          <cell r="AE1974" t="str">
            <v>01 - RENOVADA</v>
          </cell>
          <cell r="AP1974">
            <v>70218567</v>
          </cell>
        </row>
        <row r="1975">
          <cell r="AE1975" t="str">
            <v>01 - RENOVADA</v>
          </cell>
          <cell r="AP1975">
            <v>70229390</v>
          </cell>
        </row>
        <row r="1976">
          <cell r="AE1976" t="str">
            <v>05 - ANULADA EN VIGENCIA</v>
          </cell>
          <cell r="AP1976">
            <v>70145094</v>
          </cell>
        </row>
        <row r="1977">
          <cell r="AE1977" t="str">
            <v>05 - ANULADA EN VIGENCIA</v>
          </cell>
          <cell r="AP1977">
            <v>70145079</v>
          </cell>
        </row>
        <row r="1978">
          <cell r="AE1978" t="str">
            <v>03 - PENDIENTE</v>
          </cell>
          <cell r="AP1978">
            <v>2010747433</v>
          </cell>
        </row>
        <row r="1979">
          <cell r="AE1979" t="str">
            <v>04 - NO RENOVADA</v>
          </cell>
          <cell r="AP1979">
            <v>44655</v>
          </cell>
        </row>
        <row r="1980">
          <cell r="AE1980" t="str">
            <v>05 - ANULADA EN VIGENCIA</v>
          </cell>
          <cell r="AP1980">
            <v>2005348431</v>
          </cell>
        </row>
        <row r="1981">
          <cell r="AE1981" t="str">
            <v>05 - ANULADA EN VIGENCIA</v>
          </cell>
          <cell r="AP1981">
            <v>1073451</v>
          </cell>
        </row>
        <row r="1982">
          <cell r="AE1982" t="str">
            <v>04 - NO RENOVADA</v>
          </cell>
          <cell r="AP1982" t="str">
            <v>E0029631</v>
          </cell>
        </row>
        <row r="1983">
          <cell r="AE1983" t="str">
            <v>01 - RENOVADA</v>
          </cell>
          <cell r="AP1983">
            <v>16551486</v>
          </cell>
        </row>
        <row r="1984">
          <cell r="AE1984" t="str">
            <v>03 - PENDIENTE</v>
          </cell>
          <cell r="AP1984">
            <v>16711633</v>
          </cell>
        </row>
        <row r="1985">
          <cell r="AE1985" t="str">
            <v>05 - ANULADA EN VIGENCIA</v>
          </cell>
          <cell r="AP1985">
            <v>2004431728</v>
          </cell>
        </row>
        <row r="1986">
          <cell r="AE1986" t="str">
            <v>08 - VIGENCIA ANTERIOR</v>
          </cell>
          <cell r="AP1986">
            <v>1010914</v>
          </cell>
        </row>
        <row r="1987">
          <cell r="AE1987" t="str">
            <v>05 - ANULADA EN VIGENCIA</v>
          </cell>
          <cell r="AP1987">
            <v>1402433</v>
          </cell>
        </row>
        <row r="1988">
          <cell r="AE1988" t="str">
            <v>05 - ANULADA EN VIGENCIA</v>
          </cell>
          <cell r="AP1988">
            <v>1432633</v>
          </cell>
        </row>
        <row r="1989">
          <cell r="AE1989" t="str">
            <v>05 - ANULADA EN VIGENCIA</v>
          </cell>
          <cell r="AP1989">
            <v>1401507</v>
          </cell>
        </row>
        <row r="1990">
          <cell r="AE1990" t="str">
            <v>01 - RENOVADA</v>
          </cell>
          <cell r="AP1990">
            <v>2011502221</v>
          </cell>
        </row>
        <row r="1991">
          <cell r="AE1991" t="str">
            <v>05 - ANULADA EN VIGENCIA</v>
          </cell>
          <cell r="AP1991">
            <v>125838535</v>
          </cell>
        </row>
        <row r="1992">
          <cell r="AE1992" t="str">
            <v>08 - VIGENCIA ANTERIOR</v>
          </cell>
          <cell r="AP1992">
            <v>1096689</v>
          </cell>
        </row>
        <row r="1993">
          <cell r="AE1993" t="str">
            <v>08 - VIGENCIA ANTERIOR</v>
          </cell>
          <cell r="AP1993">
            <v>1298377</v>
          </cell>
        </row>
        <row r="1994">
          <cell r="AE1994" t="str">
            <v>01 - RENOVADA</v>
          </cell>
          <cell r="AP1994">
            <v>1576092</v>
          </cell>
        </row>
        <row r="1995">
          <cell r="AE1995" t="str">
            <v>08 - VIGENCIA ANTERIOR</v>
          </cell>
          <cell r="AP1995">
            <v>33272</v>
          </cell>
        </row>
        <row r="1996">
          <cell r="AE1996" t="str">
            <v>01 - RENOVADA</v>
          </cell>
          <cell r="AP1996">
            <v>10176</v>
          </cell>
        </row>
        <row r="1997">
          <cell r="AE1997" t="str">
            <v>05 - ANULADA EN VIGENCIA</v>
          </cell>
          <cell r="AP1997" t="str">
            <v>E0027537</v>
          </cell>
        </row>
        <row r="1998">
          <cell r="AE1998" t="str">
            <v>05 - ANULADA EN VIGENCIA</v>
          </cell>
          <cell r="AP1998">
            <v>1394782</v>
          </cell>
        </row>
        <row r="1999">
          <cell r="AE1999" t="str">
            <v>01 - RENOVADA</v>
          </cell>
          <cell r="AP1999">
            <v>2009877012</v>
          </cell>
        </row>
        <row r="2000">
          <cell r="AE2000" t="str">
            <v>05 - ANULADA EN VIGENCIA</v>
          </cell>
          <cell r="AP2000">
            <v>1252966</v>
          </cell>
        </row>
        <row r="2001">
          <cell r="AE2001" t="str">
            <v>01 - RENOVADA</v>
          </cell>
          <cell r="AP2001" t="str">
            <v>E0027536</v>
          </cell>
        </row>
        <row r="2002">
          <cell r="AE2002" t="str">
            <v>01 - RENOVADA</v>
          </cell>
          <cell r="AP2002" t="str">
            <v>E0033759</v>
          </cell>
        </row>
        <row r="2003">
          <cell r="AE2003" t="str">
            <v>05 - ANULADA EN VIGENCIA</v>
          </cell>
          <cell r="AP2003">
            <v>5381</v>
          </cell>
        </row>
        <row r="2004">
          <cell r="AE2004" t="str">
            <v>05 - ANULADA EN VIGENCIA</v>
          </cell>
          <cell r="AP2004">
            <v>5387</v>
          </cell>
        </row>
        <row r="2005">
          <cell r="AE2005" t="str">
            <v>05 - ANULADA EN VIGENCIA</v>
          </cell>
          <cell r="AP2005">
            <v>50565</v>
          </cell>
        </row>
        <row r="2006">
          <cell r="AE2006" t="str">
            <v>05 - ANULADA EN VIGENCIA</v>
          </cell>
          <cell r="AP2006">
            <v>5389</v>
          </cell>
        </row>
        <row r="2007">
          <cell r="AE2007" t="str">
            <v>01 - RENOVADA</v>
          </cell>
          <cell r="AP2007">
            <v>54488</v>
          </cell>
        </row>
        <row r="2008">
          <cell r="AE2008" t="str">
            <v>05 - ANULADA EN VIGENCIA</v>
          </cell>
          <cell r="AP2008">
            <v>997352</v>
          </cell>
        </row>
        <row r="2009">
          <cell r="AE2009" t="str">
            <v>05 - ANULADA EN VIGENCIA</v>
          </cell>
          <cell r="AP2009">
            <v>2002990190</v>
          </cell>
        </row>
        <row r="2010">
          <cell r="AE2010" t="str">
            <v>03 - PENDIENTE</v>
          </cell>
          <cell r="AP2010">
            <v>2009311492</v>
          </cell>
        </row>
        <row r="2011">
          <cell r="AE2011" t="str">
            <v>03 - PENDIENTE</v>
          </cell>
          <cell r="AP2011">
            <v>2011215021</v>
          </cell>
        </row>
        <row r="2012">
          <cell r="AE2012" t="str">
            <v>01 - RENOVADA</v>
          </cell>
          <cell r="AP2012">
            <v>54145</v>
          </cell>
        </row>
        <row r="2013">
          <cell r="AE2013" t="str">
            <v>05 - ANULADA EN VIGENCIA</v>
          </cell>
          <cell r="AP2013">
            <v>16744211</v>
          </cell>
        </row>
        <row r="2014">
          <cell r="AE2014" t="str">
            <v>05 - ANULADA EN VIGENCIA</v>
          </cell>
          <cell r="AP2014">
            <v>77048</v>
          </cell>
        </row>
        <row r="2015">
          <cell r="AE2015" t="str">
            <v>04 - NO RENOVADA</v>
          </cell>
          <cell r="AP2015">
            <v>2004799797</v>
          </cell>
        </row>
        <row r="2016">
          <cell r="AE2016" t="str">
            <v>05 - ANULADA EN VIGENCIA</v>
          </cell>
          <cell r="AP2016">
            <v>2009010410</v>
          </cell>
        </row>
        <row r="2017">
          <cell r="AE2017" t="str">
            <v>05 - ANULADA EN VIGENCIA</v>
          </cell>
          <cell r="AP2017">
            <v>7921325</v>
          </cell>
        </row>
        <row r="2018">
          <cell r="AE2018" t="str">
            <v>05 - ANULADA EN VIGENCIA</v>
          </cell>
          <cell r="AP2018">
            <v>1099106</v>
          </cell>
        </row>
        <row r="2019">
          <cell r="AE2019" t="str">
            <v>05 - ANULADA EN VIGENCIA</v>
          </cell>
          <cell r="AP2019">
            <v>1298362</v>
          </cell>
        </row>
        <row r="2020">
          <cell r="AE2020" t="str">
            <v>04 - NO RENOVADA</v>
          </cell>
          <cell r="AP2020">
            <v>2006020924</v>
          </cell>
        </row>
        <row r="2021">
          <cell r="AE2021" t="str">
            <v>05 - ANULADA EN VIGENCIA</v>
          </cell>
          <cell r="AP2021">
            <v>2003814500</v>
          </cell>
        </row>
        <row r="2022">
          <cell r="AE2022" t="str">
            <v>05 - ANULADA EN VIGENCIA</v>
          </cell>
          <cell r="AP2022">
            <v>810359</v>
          </cell>
        </row>
        <row r="2023">
          <cell r="AE2023" t="str">
            <v>01 - RENOVADA</v>
          </cell>
          <cell r="AP2023">
            <v>2011589550</v>
          </cell>
        </row>
        <row r="2024">
          <cell r="AE2024" t="str">
            <v>04 - NO RENOVADA</v>
          </cell>
          <cell r="AP2024">
            <v>43479</v>
          </cell>
        </row>
        <row r="2025">
          <cell r="AE2025" t="str">
            <v>05 - ANULADA EN VIGENCIA</v>
          </cell>
          <cell r="AP2025">
            <v>2004612323</v>
          </cell>
        </row>
        <row r="2026">
          <cell r="AE2026" t="str">
            <v>08 - VIGENCIA ANTERIOR</v>
          </cell>
          <cell r="AP2026">
            <v>2007361075</v>
          </cell>
        </row>
        <row r="2027">
          <cell r="AE2027" t="str">
            <v>01 - RENOVADA</v>
          </cell>
          <cell r="AP2027">
            <v>2008791495</v>
          </cell>
        </row>
        <row r="2028">
          <cell r="AE2028" t="str">
            <v>05 - ANULADA EN VIGENCIA</v>
          </cell>
          <cell r="AP2028">
            <v>2006584182</v>
          </cell>
        </row>
        <row r="2029">
          <cell r="AE2029" t="str">
            <v>01 - RENOVADA</v>
          </cell>
          <cell r="AP2029">
            <v>2006751451</v>
          </cell>
        </row>
        <row r="2030">
          <cell r="AE2030" t="str">
            <v>03 - PENDIENTE</v>
          </cell>
          <cell r="AP2030">
            <v>970070559</v>
          </cell>
        </row>
        <row r="2031">
          <cell r="AE2031" t="str">
            <v>05 - ANULADA EN VIGENCIA</v>
          </cell>
          <cell r="AP2031">
            <v>2007472295</v>
          </cell>
        </row>
        <row r="2032">
          <cell r="AE2032" t="str">
            <v>05 - ANULADA EN VIGENCIA</v>
          </cell>
          <cell r="AP2032">
            <v>2002100457</v>
          </cell>
        </row>
        <row r="2033">
          <cell r="AE2033" t="str">
            <v>05 - ANULADA EN VIGENCIA</v>
          </cell>
          <cell r="AP2033">
            <v>2008797232</v>
          </cell>
        </row>
        <row r="2034">
          <cell r="AE2034" t="str">
            <v>05 - ANULADA EN VIGENCIA</v>
          </cell>
          <cell r="AP2034">
            <v>2009823712</v>
          </cell>
        </row>
        <row r="2035">
          <cell r="AE2035" t="str">
            <v>01 - RENOVADA</v>
          </cell>
          <cell r="AP2035">
            <v>2009751323</v>
          </cell>
        </row>
        <row r="2036">
          <cell r="AE2036" t="str">
            <v>01 - RENOVADA</v>
          </cell>
          <cell r="AP2036">
            <v>53924</v>
          </cell>
        </row>
        <row r="2037">
          <cell r="AE2037" t="str">
            <v>08 - VIGENCIA ANTERIOR</v>
          </cell>
          <cell r="AP2037">
            <v>1073711</v>
          </cell>
        </row>
        <row r="2038">
          <cell r="AE2038" t="str">
            <v>08 - VIGENCIA ANTERIOR</v>
          </cell>
          <cell r="AP2038">
            <v>1294399</v>
          </cell>
        </row>
        <row r="2039">
          <cell r="AE2039" t="str">
            <v>01 - RENOVADA</v>
          </cell>
          <cell r="AP2039">
            <v>1576258</v>
          </cell>
        </row>
        <row r="2040">
          <cell r="AE2040" t="str">
            <v>05 - ANULADA EN VIGENCIA</v>
          </cell>
          <cell r="AP2040">
            <v>17066349</v>
          </cell>
        </row>
        <row r="2041">
          <cell r="AE2041" t="str">
            <v>05 - ANULADA EN VIGENCIA</v>
          </cell>
          <cell r="AP2041">
            <v>17069096</v>
          </cell>
        </row>
        <row r="2042">
          <cell r="AE2042" t="str">
            <v>05 - ANULADA EN VIGENCIA</v>
          </cell>
          <cell r="AP2042">
            <v>17069101</v>
          </cell>
        </row>
        <row r="2043">
          <cell r="AE2043" t="str">
            <v>05 - ANULADA EN VIGENCIA</v>
          </cell>
          <cell r="AP2043">
            <v>17069106</v>
          </cell>
        </row>
        <row r="2044">
          <cell r="AE2044" t="str">
            <v>01 - RENOVADA</v>
          </cell>
          <cell r="AP2044">
            <v>612167218</v>
          </cell>
        </row>
        <row r="2045">
          <cell r="AE2045" t="str">
            <v>04 - NO RENOVADA</v>
          </cell>
          <cell r="AP2045">
            <v>2006714793</v>
          </cell>
        </row>
        <row r="2046">
          <cell r="AE2046" t="str">
            <v>01 - RENOVADA</v>
          </cell>
          <cell r="AP2046">
            <v>2011964814</v>
          </cell>
        </row>
        <row r="2047">
          <cell r="AE2047" t="str">
            <v>01 - RENOVADA</v>
          </cell>
          <cell r="AP2047">
            <v>1505015</v>
          </cell>
        </row>
        <row r="2048">
          <cell r="AE2048" t="str">
            <v>01 - RENOVADA</v>
          </cell>
          <cell r="AP2048">
            <v>1505018</v>
          </cell>
        </row>
        <row r="2049">
          <cell r="AE2049" t="str">
            <v>01 - RENOVADA</v>
          </cell>
          <cell r="AP2049">
            <v>1505021</v>
          </cell>
        </row>
        <row r="2050">
          <cell r="AE2050" t="str">
            <v>05 - ANULADA EN VIGENCIA</v>
          </cell>
          <cell r="AP2050">
            <v>36121</v>
          </cell>
        </row>
        <row r="2051">
          <cell r="AE2051" t="str">
            <v>05 - ANULADA EN VIGENCIA</v>
          </cell>
          <cell r="AP2051">
            <v>2005007286</v>
          </cell>
        </row>
        <row r="2052">
          <cell r="AE2052" t="str">
            <v>05 - ANULADA EN VIGENCIA</v>
          </cell>
          <cell r="AP2052">
            <v>2004469378</v>
          </cell>
        </row>
        <row r="2053">
          <cell r="AE2053" t="str">
            <v>05 - ANULADA EN VIGENCIA</v>
          </cell>
          <cell r="AP2053">
            <v>737704</v>
          </cell>
        </row>
        <row r="2054">
          <cell r="AE2054" t="str">
            <v>05 - ANULADA EN VIGENCIA</v>
          </cell>
          <cell r="AP2054">
            <v>515509</v>
          </cell>
        </row>
        <row r="2055">
          <cell r="AE2055" t="str">
            <v>05 - ANULADA EN VIGENCIA</v>
          </cell>
          <cell r="AP2055">
            <v>2005701656</v>
          </cell>
        </row>
        <row r="2056">
          <cell r="AE2056" t="str">
            <v>05 - ANULADA EN VIGENCIA</v>
          </cell>
          <cell r="AP2056">
            <v>2004688023</v>
          </cell>
        </row>
        <row r="2057">
          <cell r="AE2057" t="str">
            <v>08 - VIGENCIA ANTERIOR</v>
          </cell>
          <cell r="AP2057">
            <v>1013239</v>
          </cell>
        </row>
        <row r="2058">
          <cell r="AE2058" t="str">
            <v>08 - VIGENCIA ANTERIOR</v>
          </cell>
          <cell r="AP2058">
            <v>1308094</v>
          </cell>
        </row>
        <row r="2059">
          <cell r="AE2059" t="str">
            <v>03 - PENDIENTE</v>
          </cell>
          <cell r="AP2059">
            <v>1476275</v>
          </cell>
        </row>
        <row r="2060">
          <cell r="AE2060" t="str">
            <v>05 - ANULADA EN VIGENCIA</v>
          </cell>
          <cell r="AP2060">
            <v>2004690519</v>
          </cell>
        </row>
        <row r="2061">
          <cell r="AE2061" t="str">
            <v>05 - ANULADA EN VIGENCIA</v>
          </cell>
          <cell r="AP2061">
            <v>16751337</v>
          </cell>
        </row>
        <row r="2062">
          <cell r="AE2062" t="str">
            <v>01 - RENOVADA</v>
          </cell>
          <cell r="AP2062">
            <v>70205691</v>
          </cell>
        </row>
        <row r="2063">
          <cell r="AE2063" t="str">
            <v>05 - ANULADA EN VIGENCIA</v>
          </cell>
          <cell r="AP2063">
            <v>2009408318</v>
          </cell>
        </row>
        <row r="2064">
          <cell r="AE2064" t="str">
            <v>01 - RENOVADA</v>
          </cell>
          <cell r="AP2064">
            <v>2010734332</v>
          </cell>
        </row>
        <row r="2065">
          <cell r="AE2065" t="str">
            <v>05 - ANULADA EN VIGENCIA</v>
          </cell>
          <cell r="AP2065" t="str">
            <v>34-00001-2</v>
          </cell>
        </row>
        <row r="2066">
          <cell r="AE2066" t="str">
            <v>01 - RENOVADA</v>
          </cell>
          <cell r="AP2066">
            <v>70234322</v>
          </cell>
        </row>
        <row r="2067">
          <cell r="AE2067" t="str">
            <v>03 - PENDIENTE</v>
          </cell>
          <cell r="AP2067">
            <v>170049942</v>
          </cell>
        </row>
        <row r="2068">
          <cell r="AE2068" t="str">
            <v>05 - ANULADA EN VIGENCIA</v>
          </cell>
          <cell r="AP2068">
            <v>2004433327</v>
          </cell>
        </row>
        <row r="2069">
          <cell r="AE2069" t="str">
            <v>04 - NO RENOVADA</v>
          </cell>
          <cell r="AP2069">
            <v>2005656323</v>
          </cell>
        </row>
        <row r="2070">
          <cell r="AE2070" t="str">
            <v>08 - VIGENCIA ANTERIOR</v>
          </cell>
          <cell r="AP2070">
            <v>2007176372</v>
          </cell>
        </row>
        <row r="2071">
          <cell r="AE2071" t="str">
            <v>01 - RENOVADA</v>
          </cell>
          <cell r="AP2071">
            <v>2008496475</v>
          </cell>
        </row>
        <row r="2072">
          <cell r="AE2072" t="str">
            <v>01 - RENOVADA</v>
          </cell>
          <cell r="AP2072">
            <v>2009562256</v>
          </cell>
        </row>
        <row r="2073">
          <cell r="AE2073" t="str">
            <v>05 - ANULADA EN VIGENCIA</v>
          </cell>
          <cell r="AP2073">
            <v>1003111</v>
          </cell>
        </row>
        <row r="2074">
          <cell r="AE2074" t="str">
            <v>05 - ANULADA EN VIGENCIA</v>
          </cell>
          <cell r="AP2074">
            <v>1126612</v>
          </cell>
        </row>
        <row r="2075">
          <cell r="AE2075" t="str">
            <v>07 - DEVUELTO A AON</v>
          </cell>
          <cell r="AP2075">
            <v>3202667</v>
          </cell>
        </row>
        <row r="2076">
          <cell r="AE2076" t="str">
            <v>05 - ANULADA EN VIGENCIA</v>
          </cell>
          <cell r="AP2076">
            <v>30045281</v>
          </cell>
        </row>
        <row r="2077">
          <cell r="AE2077" t="str">
            <v>05 - ANULADA EN VIGENCIA</v>
          </cell>
          <cell r="AP2077" t="str">
            <v>E0028230</v>
          </cell>
        </row>
        <row r="2078">
          <cell r="AE2078" t="str">
            <v>05 - ANULADA EN VIGENCIA</v>
          </cell>
          <cell r="AP2078">
            <v>1410725</v>
          </cell>
        </row>
        <row r="2079">
          <cell r="AE2079" t="str">
            <v>05 - ANULADA EN VIGENCIA</v>
          </cell>
          <cell r="AP2079">
            <v>1074321</v>
          </cell>
        </row>
        <row r="2080">
          <cell r="AE2080" t="str">
            <v>05 - ANULADA EN VIGENCIA</v>
          </cell>
          <cell r="AP2080">
            <v>1290408</v>
          </cell>
        </row>
        <row r="2081">
          <cell r="AE2081" t="str">
            <v>04 - NO RENOVADA</v>
          </cell>
          <cell r="AP2081">
            <v>1295000</v>
          </cell>
        </row>
        <row r="2082">
          <cell r="AE2082" t="str">
            <v>05 - ANULADA EN VIGENCIA</v>
          </cell>
          <cell r="AP2082">
            <v>1294084</v>
          </cell>
        </row>
        <row r="2083">
          <cell r="AE2083" t="str">
            <v>05 - ANULADA EN VIGENCIA</v>
          </cell>
          <cell r="AP2083">
            <v>1368605</v>
          </cell>
        </row>
        <row r="2084">
          <cell r="AE2084" t="str">
            <v>01 - RENOVADA</v>
          </cell>
          <cell r="AP2084" t="str">
            <v>E0037561</v>
          </cell>
        </row>
        <row r="2085">
          <cell r="AE2085" t="str">
            <v>05 - ANULADA EN VIGENCIA</v>
          </cell>
          <cell r="AP2085">
            <v>795335</v>
          </cell>
        </row>
        <row r="2086">
          <cell r="AE2086" t="str">
            <v>04 - NO RENOVADA</v>
          </cell>
          <cell r="AP2086">
            <v>5109731579</v>
          </cell>
        </row>
        <row r="2087">
          <cell r="AE2087" t="str">
            <v>08 - VIGENCIA ANTERIOR</v>
          </cell>
          <cell r="AP2087">
            <v>951127</v>
          </cell>
        </row>
        <row r="2088">
          <cell r="AE2088" t="str">
            <v>08 - VIGENCIA ANTERIOR</v>
          </cell>
          <cell r="AP2088">
            <v>1260305</v>
          </cell>
        </row>
        <row r="2089">
          <cell r="AE2089" t="str">
            <v>01 - RENOVADA</v>
          </cell>
          <cell r="AP2089">
            <v>1527972</v>
          </cell>
        </row>
        <row r="2090">
          <cell r="AE2090" t="str">
            <v>05 - ANULADA EN VIGENCIA</v>
          </cell>
          <cell r="AP2090">
            <v>997347</v>
          </cell>
        </row>
        <row r="2091">
          <cell r="AE2091" t="str">
            <v>05 - ANULADA EN VIGENCIA</v>
          </cell>
          <cell r="AP2091">
            <v>79640</v>
          </cell>
        </row>
        <row r="2092">
          <cell r="AE2092" t="str">
            <v>01 - RENOVADA</v>
          </cell>
          <cell r="AP2092">
            <v>2008784847</v>
          </cell>
        </row>
        <row r="2093">
          <cell r="AE2093" t="str">
            <v>04 - NO RENOVADA</v>
          </cell>
          <cell r="AP2093">
            <v>2004201049</v>
          </cell>
        </row>
        <row r="2094">
          <cell r="AE2094" t="str">
            <v>04 - NO RENOVADA</v>
          </cell>
          <cell r="AP2094">
            <v>2005007103</v>
          </cell>
        </row>
        <row r="2095">
          <cell r="AE2095" t="str">
            <v>01 - RENOVADA</v>
          </cell>
          <cell r="AP2095">
            <v>17931</v>
          </cell>
        </row>
        <row r="2096">
          <cell r="AE2096" t="str">
            <v>03 - PENDIENTE</v>
          </cell>
          <cell r="AP2096">
            <v>1469530</v>
          </cell>
        </row>
        <row r="2097">
          <cell r="AE2097" t="str">
            <v>01 - RENOVADA</v>
          </cell>
          <cell r="AP2097">
            <v>2011456123</v>
          </cell>
        </row>
        <row r="2098">
          <cell r="AE2098" t="str">
            <v>05 - ANULADA EN VIGENCIA</v>
          </cell>
          <cell r="AP2098">
            <v>2006649171</v>
          </cell>
        </row>
        <row r="2099">
          <cell r="AE2099" t="str">
            <v>05 - ANULADA EN VIGENCIA</v>
          </cell>
          <cell r="AP2099">
            <v>1337774</v>
          </cell>
        </row>
        <row r="2100">
          <cell r="AE2100" t="str">
            <v>05 - ANULADA EN VIGENCIA</v>
          </cell>
          <cell r="AP2100">
            <v>2004754973</v>
          </cell>
        </row>
        <row r="2101">
          <cell r="AE2101" t="str">
            <v>04 - NO RENOVADA</v>
          </cell>
          <cell r="AP2101">
            <v>86016</v>
          </cell>
        </row>
        <row r="2102">
          <cell r="AE2102" t="str">
            <v>01 - RENOVADA</v>
          </cell>
          <cell r="AP2102">
            <v>45693</v>
          </cell>
        </row>
        <row r="2103">
          <cell r="AE2103" t="str">
            <v>04 - NO RENOVADA</v>
          </cell>
          <cell r="AP2103">
            <v>2007791002</v>
          </cell>
        </row>
        <row r="2104">
          <cell r="AE2104" t="str">
            <v>05 - ANULADA EN VIGENCIA</v>
          </cell>
          <cell r="AP2104">
            <v>2009005229</v>
          </cell>
        </row>
        <row r="2105">
          <cell r="AE2105" t="str">
            <v>05 - ANULADA EN VIGENCIA</v>
          </cell>
          <cell r="AP2105">
            <v>2009844263</v>
          </cell>
        </row>
        <row r="2106">
          <cell r="AE2106" t="str">
            <v>08 - VIGENCIA ANTERIOR</v>
          </cell>
          <cell r="AP2106">
            <v>2007245861</v>
          </cell>
        </row>
        <row r="2107">
          <cell r="AE2107" t="str">
            <v>05 - ANULADA EN VIGENCIA</v>
          </cell>
          <cell r="AP2107">
            <v>1441427</v>
          </cell>
        </row>
        <row r="2108">
          <cell r="AE2108" t="str">
            <v>08 - VIGENCIA ANTERIOR</v>
          </cell>
          <cell r="AP2108">
            <v>875281</v>
          </cell>
        </row>
        <row r="2109">
          <cell r="AE2109" t="str">
            <v>08 - VIGENCIA ANTERIOR</v>
          </cell>
          <cell r="AP2109">
            <v>1052104</v>
          </cell>
        </row>
        <row r="2110">
          <cell r="AE2110" t="str">
            <v>08 - VIGENCIA ANTERIOR</v>
          </cell>
          <cell r="AP2110">
            <v>1261340</v>
          </cell>
        </row>
        <row r="2111">
          <cell r="AE2111" t="str">
            <v>01 - RENOVADA</v>
          </cell>
          <cell r="AP2111">
            <v>1538650</v>
          </cell>
        </row>
        <row r="2112">
          <cell r="AE2112" t="str">
            <v>03 - PENDIENTE</v>
          </cell>
          <cell r="AP2112">
            <v>2006502081</v>
          </cell>
        </row>
        <row r="2113">
          <cell r="AE2113" t="str">
            <v>05 - ANULADA EN VIGENCIA</v>
          </cell>
          <cell r="AP2113">
            <v>1003280</v>
          </cell>
        </row>
        <row r="2114">
          <cell r="AE2114" t="str">
            <v>05 - ANULADA EN VIGENCIA</v>
          </cell>
          <cell r="AP2114">
            <v>1405386</v>
          </cell>
        </row>
        <row r="2115">
          <cell r="AE2115" t="str">
            <v>01 - RENOVADA</v>
          </cell>
          <cell r="AP2115">
            <v>2010055498</v>
          </cell>
        </row>
        <row r="2116">
          <cell r="AE2116" t="str">
            <v>08 - VIGENCIA ANTERIOR</v>
          </cell>
          <cell r="AP2116">
            <v>698931</v>
          </cell>
        </row>
        <row r="2117">
          <cell r="AE2117" t="str">
            <v>05 - ANULADA EN VIGENCIA</v>
          </cell>
          <cell r="AP2117">
            <v>505347</v>
          </cell>
        </row>
        <row r="2118">
          <cell r="AE2118" t="str">
            <v>05 - ANULADA EN VIGENCIA</v>
          </cell>
          <cell r="AP2118">
            <v>2010250848</v>
          </cell>
        </row>
        <row r="2119">
          <cell r="AE2119" t="str">
            <v>05 - ANULADA EN VIGENCIA</v>
          </cell>
          <cell r="AP2119">
            <v>2004690503</v>
          </cell>
        </row>
        <row r="2120">
          <cell r="AE2120" t="str">
            <v>05 - ANULADA EN VIGENCIA</v>
          </cell>
          <cell r="AP2120">
            <v>1116134</v>
          </cell>
        </row>
        <row r="2121">
          <cell r="AE2121" t="str">
            <v>01 - RENOVADA</v>
          </cell>
          <cell r="AP2121">
            <v>1493108</v>
          </cell>
        </row>
        <row r="2122">
          <cell r="AE2122" t="str">
            <v>08 - VIGENCIA ANTERIOR</v>
          </cell>
          <cell r="AP2122">
            <v>2005656303</v>
          </cell>
        </row>
        <row r="2123">
          <cell r="AE2123" t="str">
            <v>08 - VIGENCIA ANTERIOR</v>
          </cell>
          <cell r="AP2123">
            <v>1059447</v>
          </cell>
        </row>
        <row r="2124">
          <cell r="AE2124" t="str">
            <v>08 - VIGENCIA ANTERIOR</v>
          </cell>
          <cell r="AP2124">
            <v>1266301</v>
          </cell>
        </row>
        <row r="2125">
          <cell r="AE2125" t="str">
            <v>05 - ANULADA EN VIGENCIA</v>
          </cell>
          <cell r="AP2125">
            <v>1363959</v>
          </cell>
        </row>
        <row r="2126">
          <cell r="AE2126" t="str">
            <v>01 - RENOVADA</v>
          </cell>
          <cell r="AP2126">
            <v>2010020725</v>
          </cell>
        </row>
        <row r="2127">
          <cell r="AE2127" t="str">
            <v>01 - RENOVADA</v>
          </cell>
          <cell r="AP2127">
            <v>73140</v>
          </cell>
        </row>
        <row r="2128">
          <cell r="AE2128" t="str">
            <v>08 - VIGENCIA ANTERIOR</v>
          </cell>
          <cell r="AP2128">
            <v>1383548</v>
          </cell>
        </row>
        <row r="2129">
          <cell r="AE2129" t="str">
            <v>08 - VIGENCIA ANTERIOR</v>
          </cell>
          <cell r="AP2129">
            <v>1306103</v>
          </cell>
        </row>
        <row r="2130">
          <cell r="AE2130" t="str">
            <v>03 - PENDIENTE</v>
          </cell>
          <cell r="AP2130">
            <v>1475816</v>
          </cell>
        </row>
        <row r="2131">
          <cell r="AE2131" t="str">
            <v>01 - RENOVADA</v>
          </cell>
          <cell r="AP2131">
            <v>70230136</v>
          </cell>
        </row>
        <row r="2132">
          <cell r="AE2132" t="str">
            <v>05 - ANULADA EN VIGENCIA</v>
          </cell>
          <cell r="AP2132">
            <v>1080104</v>
          </cell>
        </row>
        <row r="2133">
          <cell r="AE2133" t="str">
            <v>04 - NO RENOVADA</v>
          </cell>
          <cell r="AP2133">
            <v>1678469</v>
          </cell>
        </row>
        <row r="2134">
          <cell r="AE2134" t="str">
            <v>05 - ANULADA EN VIGENCIA</v>
          </cell>
          <cell r="AP2134">
            <v>1365246</v>
          </cell>
        </row>
        <row r="2135">
          <cell r="AE2135" t="str">
            <v>05 - ANULADA EN VIGENCIA</v>
          </cell>
          <cell r="AP2135">
            <v>1053954</v>
          </cell>
        </row>
        <row r="2136">
          <cell r="AE2136" t="str">
            <v>05 - ANULADA EN VIGENCIA</v>
          </cell>
          <cell r="AP2136">
            <v>1260299</v>
          </cell>
        </row>
        <row r="2137">
          <cell r="AE2137" t="str">
            <v>05 - ANULADA EN VIGENCIA</v>
          </cell>
          <cell r="AP2137">
            <v>2007208988</v>
          </cell>
        </row>
        <row r="2138">
          <cell r="AE2138" t="str">
            <v>05 - ANULADA EN VIGENCIA</v>
          </cell>
          <cell r="AP2138">
            <v>2008501285</v>
          </cell>
        </row>
        <row r="2139">
          <cell r="AE2139" t="str">
            <v>05 - ANULADA EN VIGENCIA</v>
          </cell>
          <cell r="AP2139">
            <v>70182707</v>
          </cell>
        </row>
        <row r="2140">
          <cell r="AE2140" t="str">
            <v>01 - RENOVADA</v>
          </cell>
          <cell r="AP2140">
            <v>48631</v>
          </cell>
        </row>
        <row r="2141">
          <cell r="AE2141" t="str">
            <v>01 - RENOVADA</v>
          </cell>
          <cell r="AP2141">
            <v>39766</v>
          </cell>
        </row>
        <row r="2142">
          <cell r="AE2142" t="str">
            <v>08 - VIGENCIA ANTERIOR</v>
          </cell>
          <cell r="AP2142">
            <v>1086900</v>
          </cell>
        </row>
        <row r="2143">
          <cell r="AE2143" t="str">
            <v>08 - VIGENCIA ANTERIOR</v>
          </cell>
          <cell r="AP2143">
            <v>1298688</v>
          </cell>
        </row>
        <row r="2144">
          <cell r="AE2144" t="str">
            <v>01 - RENOVADA</v>
          </cell>
          <cell r="AP2144">
            <v>1573568</v>
          </cell>
        </row>
        <row r="2145">
          <cell r="AE2145" t="str">
            <v>01 - RENOVADA</v>
          </cell>
          <cell r="AP2145">
            <v>1506648</v>
          </cell>
        </row>
        <row r="2146">
          <cell r="AE2146" t="str">
            <v>08 - VIGENCIA ANTERIOR</v>
          </cell>
          <cell r="AP2146">
            <v>1234120</v>
          </cell>
        </row>
        <row r="2147">
          <cell r="AE2147" t="str">
            <v>01 - RENOVADA</v>
          </cell>
          <cell r="AP2147">
            <v>1509975</v>
          </cell>
        </row>
        <row r="2148">
          <cell r="AE2148" t="str">
            <v>05 - ANULADA EN VIGENCIA</v>
          </cell>
          <cell r="AP2148">
            <v>72639</v>
          </cell>
        </row>
        <row r="2149">
          <cell r="AE2149" t="str">
            <v>05 - ANULADA EN VIGENCIA</v>
          </cell>
          <cell r="AP2149">
            <v>79839</v>
          </cell>
        </row>
        <row r="2150">
          <cell r="AE2150" t="str">
            <v>05 - ANULADA EN VIGENCIA</v>
          </cell>
          <cell r="AP2150">
            <v>2009823783</v>
          </cell>
        </row>
        <row r="2151">
          <cell r="AE2151" t="str">
            <v>05 - ANULADA EN VIGENCIA</v>
          </cell>
          <cell r="AP2151">
            <v>74147</v>
          </cell>
        </row>
        <row r="2152">
          <cell r="AE2152" t="str">
            <v>01 - RENOVADA</v>
          </cell>
          <cell r="AP2152">
            <v>2009562324</v>
          </cell>
        </row>
        <row r="2153">
          <cell r="AE2153" t="str">
            <v>04 - NO RENOVADA</v>
          </cell>
          <cell r="AP2153">
            <v>1065831</v>
          </cell>
        </row>
        <row r="2154">
          <cell r="AE2154" t="str">
            <v>04 - NO RENOVADA</v>
          </cell>
          <cell r="AP2154">
            <v>1275230</v>
          </cell>
        </row>
        <row r="2155">
          <cell r="AE2155" t="str">
            <v>01 - RENOVADA</v>
          </cell>
          <cell r="AP2155">
            <v>1547952</v>
          </cell>
        </row>
        <row r="2156">
          <cell r="AE2156" t="str">
            <v>01 - RENOVADA</v>
          </cell>
          <cell r="AP2156">
            <v>2008797534</v>
          </cell>
        </row>
        <row r="2157">
          <cell r="AE2157" t="str">
            <v>01 - RENOVADA</v>
          </cell>
          <cell r="AP2157">
            <v>1526406</v>
          </cell>
        </row>
        <row r="2158">
          <cell r="AE2158" t="str">
            <v>05 - ANULADA EN VIGENCIA</v>
          </cell>
          <cell r="AP2158">
            <v>997342</v>
          </cell>
        </row>
        <row r="2159">
          <cell r="AE2159" t="str">
            <v>05 - ANULADA EN VIGENCIA</v>
          </cell>
          <cell r="AP2159">
            <v>1305892</v>
          </cell>
        </row>
        <row r="2160">
          <cell r="AE2160" t="str">
            <v>05 - ANULADA EN VIGENCIA</v>
          </cell>
          <cell r="AP2160">
            <v>1383547</v>
          </cell>
        </row>
        <row r="2161">
          <cell r="AE2161" t="str">
            <v>08 - VIGENCIA ANTERIOR</v>
          </cell>
          <cell r="AP2161">
            <v>867605</v>
          </cell>
        </row>
        <row r="2162">
          <cell r="AE2162" t="str">
            <v>08 - VIGENCIA ANTERIOR</v>
          </cell>
          <cell r="AP2162">
            <v>1077085</v>
          </cell>
        </row>
        <row r="2163">
          <cell r="AE2163" t="str">
            <v>08 - VIGENCIA ANTERIOR</v>
          </cell>
          <cell r="AP2163">
            <v>1280358</v>
          </cell>
        </row>
        <row r="2164">
          <cell r="AE2164" t="str">
            <v>01 - RENOVADA</v>
          </cell>
          <cell r="AP2164">
            <v>1563417</v>
          </cell>
        </row>
        <row r="2165">
          <cell r="AE2165" t="str">
            <v>05 - ANULADA EN VIGENCIA</v>
          </cell>
          <cell r="AP2165">
            <v>70134803</v>
          </cell>
        </row>
        <row r="2166">
          <cell r="AE2166" t="str">
            <v>04 - NO RENOVADA</v>
          </cell>
          <cell r="AP2166">
            <v>70114570</v>
          </cell>
        </row>
        <row r="2167">
          <cell r="AE2167" t="str">
            <v>05 - ANULADA EN VIGENCIA</v>
          </cell>
          <cell r="AP2167">
            <v>70215612</v>
          </cell>
        </row>
        <row r="2168">
          <cell r="AE2168" t="str">
            <v>05 - ANULADA EN VIGENCIA</v>
          </cell>
          <cell r="AP2168">
            <v>72492</v>
          </cell>
        </row>
        <row r="2169">
          <cell r="AE2169" t="str">
            <v>05 - ANULADA EN VIGENCIA</v>
          </cell>
          <cell r="AP2169">
            <v>72367</v>
          </cell>
        </row>
        <row r="2170">
          <cell r="AE2170" t="str">
            <v>01 - RENOVADA</v>
          </cell>
          <cell r="AP2170">
            <v>7047</v>
          </cell>
        </row>
        <row r="2171">
          <cell r="AE2171" t="str">
            <v>05 - ANULADA EN VIGENCIA</v>
          </cell>
          <cell r="AP2171">
            <v>28684</v>
          </cell>
        </row>
        <row r="2172">
          <cell r="AE2172" t="str">
            <v>04 - NO RENOVADA</v>
          </cell>
          <cell r="AP2172">
            <v>7007058</v>
          </cell>
        </row>
        <row r="2173">
          <cell r="AE2173" t="str">
            <v>04 - NO RENOVADA</v>
          </cell>
          <cell r="AP2173">
            <v>7875697</v>
          </cell>
        </row>
        <row r="2174">
          <cell r="AE2174" t="str">
            <v>05 - ANULADA EN VIGENCIA</v>
          </cell>
          <cell r="AP2174">
            <v>2004381486</v>
          </cell>
        </row>
        <row r="2175">
          <cell r="AE2175" t="str">
            <v>05 - ANULADA EN VIGENCIA</v>
          </cell>
          <cell r="AP2175">
            <v>544829</v>
          </cell>
        </row>
        <row r="2176">
          <cell r="AE2176" t="str">
            <v>01 - RENOVADA</v>
          </cell>
          <cell r="AP2176">
            <v>3012400014351</v>
          </cell>
        </row>
        <row r="2177">
          <cell r="AE2177" t="str">
            <v>01 - RENOVADA</v>
          </cell>
          <cell r="AP2177">
            <v>1510093</v>
          </cell>
        </row>
        <row r="2178">
          <cell r="AE2178" t="str">
            <v>04 - NO RENOVADA</v>
          </cell>
          <cell r="AP2178">
            <v>966285</v>
          </cell>
        </row>
        <row r="2179">
          <cell r="AE2179" t="str">
            <v>04 - NO RENOVADA</v>
          </cell>
          <cell r="AP2179">
            <v>2004687783</v>
          </cell>
        </row>
        <row r="2180">
          <cell r="AE2180" t="str">
            <v>04 - NO RENOVADA</v>
          </cell>
          <cell r="AP2180">
            <v>998318</v>
          </cell>
        </row>
        <row r="2181">
          <cell r="AE2181" t="str">
            <v>04 - NO RENOVADA</v>
          </cell>
          <cell r="AP2181">
            <v>1338082</v>
          </cell>
        </row>
        <row r="2182">
          <cell r="AE2182" t="str">
            <v>04 - NO RENOVADA</v>
          </cell>
          <cell r="AP2182">
            <v>2006556429</v>
          </cell>
        </row>
        <row r="2183">
          <cell r="AE2183" t="str">
            <v>03 - PENDIENTE</v>
          </cell>
          <cell r="AP2183">
            <v>2009000125</v>
          </cell>
        </row>
        <row r="2184">
          <cell r="AE2184" t="str">
            <v>05 - ANULADA EN VIGENCIA</v>
          </cell>
          <cell r="AP2184">
            <v>2006915107</v>
          </cell>
        </row>
        <row r="2185">
          <cell r="AE2185" t="str">
            <v>05 - ANULADA EN VIGENCIA</v>
          </cell>
          <cell r="AP2185">
            <v>2009890846</v>
          </cell>
        </row>
        <row r="2186">
          <cell r="AE2186" t="str">
            <v>04 - NO RENOVADA</v>
          </cell>
          <cell r="AP2186">
            <v>1277203</v>
          </cell>
        </row>
        <row r="2187">
          <cell r="AE2187" t="str">
            <v>01 - RENOVADA</v>
          </cell>
          <cell r="AP2187">
            <v>1547990</v>
          </cell>
        </row>
        <row r="2188">
          <cell r="AE2188" t="str">
            <v>05 - ANULADA EN VIGENCIA</v>
          </cell>
          <cell r="AP2188">
            <v>38179</v>
          </cell>
        </row>
        <row r="2189">
          <cell r="AE2189" t="str">
            <v>05 - ANULADA EN VIGENCIA</v>
          </cell>
          <cell r="AP2189">
            <v>2005825144</v>
          </cell>
        </row>
        <row r="2190">
          <cell r="AE2190" t="str">
            <v>05 - ANULADA EN VIGENCIA</v>
          </cell>
          <cell r="AP2190">
            <v>1109962</v>
          </cell>
        </row>
        <row r="2191">
          <cell r="AE2191" t="str">
            <v>01 - RENOVADA</v>
          </cell>
          <cell r="AP2191">
            <v>70238568</v>
          </cell>
        </row>
        <row r="2192">
          <cell r="AE2192" t="str">
            <v>05 - ANULADA EN VIGENCIA</v>
          </cell>
          <cell r="AP2192">
            <v>2004430596</v>
          </cell>
        </row>
        <row r="2193">
          <cell r="AE2193" t="str">
            <v>04 - NO RENOVADA</v>
          </cell>
          <cell r="AP2193">
            <v>2005007209</v>
          </cell>
        </row>
        <row r="2194">
          <cell r="AE2194" t="str">
            <v>03 - PENDIENTE</v>
          </cell>
          <cell r="AP2194">
            <v>1484358</v>
          </cell>
        </row>
        <row r="2195">
          <cell r="AE2195" t="str">
            <v>05 - ANULADA EN VIGENCIA</v>
          </cell>
          <cell r="AP2195">
            <v>2010070920</v>
          </cell>
        </row>
        <row r="2196">
          <cell r="AE2196" t="str">
            <v>05 - ANULADA EN VIGENCIA</v>
          </cell>
          <cell r="AP2196">
            <v>35983</v>
          </cell>
        </row>
        <row r="2197">
          <cell r="AE2197" t="str">
            <v>05 - ANULADA EN VIGENCIA</v>
          </cell>
          <cell r="AP2197">
            <v>2009556324</v>
          </cell>
        </row>
        <row r="2198">
          <cell r="AE2198" t="str">
            <v>04 - NO RENOVADA</v>
          </cell>
          <cell r="AP2198">
            <v>5867210</v>
          </cell>
        </row>
        <row r="2199">
          <cell r="AE2199" t="str">
            <v>01 - RENOVADA</v>
          </cell>
          <cell r="AP2199">
            <v>1425000</v>
          </cell>
        </row>
        <row r="2200">
          <cell r="AE2200" t="str">
            <v>05 - ANULADA EN VIGENCIA</v>
          </cell>
          <cell r="AP2200">
            <v>16686859</v>
          </cell>
        </row>
        <row r="2201">
          <cell r="AE2201" t="str">
            <v>04 - NO RENOVADA</v>
          </cell>
          <cell r="AP2201">
            <v>1067122</v>
          </cell>
        </row>
        <row r="2202">
          <cell r="AE2202" t="str">
            <v>04 - NO RENOVADA</v>
          </cell>
          <cell r="AP2202">
            <v>1067137</v>
          </cell>
        </row>
        <row r="2203">
          <cell r="AE2203" t="str">
            <v>04 - NO RENOVADA</v>
          </cell>
          <cell r="AP2203">
            <v>1273245</v>
          </cell>
        </row>
        <row r="2204">
          <cell r="AE2204" t="str">
            <v>04 - NO RENOVADA</v>
          </cell>
          <cell r="AP2204">
            <v>1273318</v>
          </cell>
        </row>
        <row r="2205">
          <cell r="AE2205" t="str">
            <v>01 - RENOVADA</v>
          </cell>
          <cell r="AP2205">
            <v>1547921</v>
          </cell>
        </row>
        <row r="2206">
          <cell r="AE2206" t="str">
            <v>01 - RENOVADA</v>
          </cell>
          <cell r="AP2206">
            <v>1547928</v>
          </cell>
        </row>
        <row r="2207">
          <cell r="AE2207" t="str">
            <v>01 - RENOVADA</v>
          </cell>
          <cell r="AP2207">
            <v>2009465408</v>
          </cell>
        </row>
        <row r="2208">
          <cell r="AE2208" t="str">
            <v>05 - ANULADA EN VIGENCIA</v>
          </cell>
          <cell r="AP2208">
            <v>2009390796</v>
          </cell>
        </row>
        <row r="2209">
          <cell r="AE2209" t="str">
            <v>05 - ANULADA EN VIGENCIA</v>
          </cell>
          <cell r="AP2209" t="str">
            <v>E0027514</v>
          </cell>
        </row>
        <row r="2210">
          <cell r="AE2210" t="str">
            <v>01 - RENOVADA</v>
          </cell>
          <cell r="AP2210">
            <v>2009501422</v>
          </cell>
        </row>
        <row r="2211">
          <cell r="AE2211" t="str">
            <v>05 - ANULADA EN VIGENCIA</v>
          </cell>
          <cell r="AP2211" t="str">
            <v>E0027276</v>
          </cell>
        </row>
        <row r="2212">
          <cell r="AE2212" t="str">
            <v>08 - VIGENCIA ANTERIOR</v>
          </cell>
          <cell r="AP2212">
            <v>1096688</v>
          </cell>
        </row>
        <row r="2213">
          <cell r="AE2213" t="str">
            <v>08 - VIGENCIA ANTERIOR</v>
          </cell>
          <cell r="AP2213">
            <v>1298382</v>
          </cell>
        </row>
        <row r="2214">
          <cell r="AE2214" t="str">
            <v>05 - ANULADA EN VIGENCIA</v>
          </cell>
          <cell r="AP2214">
            <v>1469505</v>
          </cell>
        </row>
        <row r="2215">
          <cell r="AE2215" t="str">
            <v>03 - PENDIENTE</v>
          </cell>
          <cell r="AP2215">
            <v>51145</v>
          </cell>
        </row>
        <row r="2216">
          <cell r="AE2216" t="str">
            <v>01 - RENOVADA</v>
          </cell>
          <cell r="AP2216">
            <v>49303</v>
          </cell>
        </row>
        <row r="2217">
          <cell r="AE2217" t="str">
            <v>05 - ANULADA EN VIGENCIA</v>
          </cell>
          <cell r="AP2217">
            <v>1046527</v>
          </cell>
        </row>
        <row r="2218">
          <cell r="AE2218" t="str">
            <v>05 - ANULADA EN VIGENCIA</v>
          </cell>
          <cell r="AP2218">
            <v>1244157</v>
          </cell>
        </row>
        <row r="2219">
          <cell r="AE2219" t="str">
            <v>04 - NO RENOVADA</v>
          </cell>
          <cell r="AP2219">
            <v>3012200043742</v>
          </cell>
        </row>
        <row r="2220">
          <cell r="AE2220" t="str">
            <v>05 - ANULADA EN VIGENCIA</v>
          </cell>
          <cell r="AP2220">
            <v>84441</v>
          </cell>
        </row>
        <row r="2221">
          <cell r="AE2221" t="str">
            <v>05 - ANULADA EN VIGENCIA</v>
          </cell>
          <cell r="AP2221">
            <v>2003726083</v>
          </cell>
        </row>
        <row r="2222">
          <cell r="AE2222" t="str">
            <v>01 - RENOVADA</v>
          </cell>
          <cell r="AP2222">
            <v>2008643967</v>
          </cell>
        </row>
        <row r="2223">
          <cell r="AE2223" t="str">
            <v>05 - ANULADA EN VIGENCIA</v>
          </cell>
          <cell r="AP2223">
            <v>2003859928</v>
          </cell>
        </row>
        <row r="2224">
          <cell r="AE2224" t="str">
            <v>05 - ANULADA EN VIGENCIA</v>
          </cell>
          <cell r="AP2224">
            <v>6073674</v>
          </cell>
        </row>
        <row r="2225">
          <cell r="AE2225" t="str">
            <v>01 - RENOVADA</v>
          </cell>
          <cell r="AP2225">
            <v>16909899</v>
          </cell>
        </row>
        <row r="2226">
          <cell r="AE2226" t="str">
            <v>04 - NO RENOVADA</v>
          </cell>
          <cell r="AP2226">
            <v>1059972</v>
          </cell>
        </row>
        <row r="2227">
          <cell r="AE2227" t="str">
            <v>04 - NO RENOVADA</v>
          </cell>
          <cell r="AP2227">
            <v>1275766</v>
          </cell>
        </row>
        <row r="2228">
          <cell r="AE2228" t="str">
            <v>01 - RENOVADA</v>
          </cell>
          <cell r="AP2228">
            <v>1547958</v>
          </cell>
        </row>
        <row r="2229">
          <cell r="AE2229" t="str">
            <v>05 - ANULADA EN VIGENCIA</v>
          </cell>
          <cell r="AP2229">
            <v>2006149424</v>
          </cell>
        </row>
        <row r="2230">
          <cell r="AE2230" t="str">
            <v>08 - VIGENCIA ANTERIOR</v>
          </cell>
          <cell r="AP2230">
            <v>1059994</v>
          </cell>
        </row>
        <row r="2231">
          <cell r="AE2231" t="str">
            <v>08 - VIGENCIA ANTERIOR</v>
          </cell>
          <cell r="AP2231">
            <v>1269447</v>
          </cell>
        </row>
        <row r="2232">
          <cell r="AE2232" t="str">
            <v>05 - ANULADA EN VIGENCIA</v>
          </cell>
          <cell r="AP2232">
            <v>1538657</v>
          </cell>
        </row>
        <row r="2233">
          <cell r="AE2233" t="str">
            <v>05 - ANULADA EN VIGENCIA</v>
          </cell>
          <cell r="AP2233">
            <v>1233558</v>
          </cell>
        </row>
        <row r="2234">
          <cell r="AE2234" t="str">
            <v>05 - ANULADA EN VIGENCIA</v>
          </cell>
          <cell r="AP2234">
            <v>2009535164</v>
          </cell>
        </row>
        <row r="2235">
          <cell r="AE2235" t="str">
            <v>01 - RENOVADA</v>
          </cell>
          <cell r="AP2235">
            <v>2011631016</v>
          </cell>
        </row>
        <row r="2236">
          <cell r="AE2236" t="str">
            <v>01 - RENOVADA</v>
          </cell>
          <cell r="AP2236">
            <v>1514979</v>
          </cell>
        </row>
        <row r="2237">
          <cell r="AE2237" t="str">
            <v>01 - RENOVADA</v>
          </cell>
          <cell r="AP2237">
            <v>2008496460</v>
          </cell>
        </row>
        <row r="2238">
          <cell r="AE2238" t="str">
            <v>01 - RENOVADA</v>
          </cell>
          <cell r="AP2238">
            <v>71892</v>
          </cell>
        </row>
        <row r="2239">
          <cell r="AE2239" t="str">
            <v>04 - NO RENOVADA</v>
          </cell>
          <cell r="AP2239">
            <v>72109</v>
          </cell>
        </row>
        <row r="2240">
          <cell r="AE2240" t="str">
            <v>05 - ANULADA EN VIGENCIA</v>
          </cell>
          <cell r="AP2240">
            <v>2008797115</v>
          </cell>
        </row>
        <row r="2241">
          <cell r="AE2241" t="str">
            <v>05 - ANULADA EN VIGENCIA</v>
          </cell>
          <cell r="AP2241">
            <v>136294476</v>
          </cell>
        </row>
        <row r="2242">
          <cell r="AE2242" t="str">
            <v>05 - ANULADA EN VIGENCIA</v>
          </cell>
          <cell r="AP2242">
            <v>1409652</v>
          </cell>
        </row>
        <row r="2243">
          <cell r="AE2243" t="str">
            <v>05 - ANULADA EN VIGENCIA</v>
          </cell>
          <cell r="AP2243">
            <v>7894377</v>
          </cell>
        </row>
        <row r="2244">
          <cell r="AE2244" t="str">
            <v>05 - ANULADA EN VIGENCIA</v>
          </cell>
          <cell r="AP2244">
            <v>1274818</v>
          </cell>
        </row>
        <row r="2245">
          <cell r="AE2245" t="str">
            <v>05 - ANULADA EN VIGENCIA</v>
          </cell>
          <cell r="AP2245">
            <v>982800</v>
          </cell>
        </row>
        <row r="2246">
          <cell r="AE2246" t="str">
            <v>08 - VIGENCIA ANTERIOR</v>
          </cell>
          <cell r="AP2246">
            <v>2004926236</v>
          </cell>
        </row>
        <row r="2247">
          <cell r="AE2247" t="str">
            <v>04 - NO RENOVADA</v>
          </cell>
          <cell r="AP2247">
            <v>2006123764</v>
          </cell>
        </row>
        <row r="2248">
          <cell r="AE2248" t="str">
            <v>04 - NO RENOVADA</v>
          </cell>
          <cell r="AP2248">
            <v>953004</v>
          </cell>
        </row>
        <row r="2249">
          <cell r="AE2249" t="str">
            <v>08 - VIGENCIA ANTERIOR</v>
          </cell>
          <cell r="AP2249">
            <v>7091115</v>
          </cell>
        </row>
        <row r="2250">
          <cell r="AE2250" t="str">
            <v>08 - VIGENCIA ANTERIOR</v>
          </cell>
          <cell r="AP2250">
            <v>8048725</v>
          </cell>
        </row>
        <row r="2251">
          <cell r="AE2251" t="str">
            <v>05 - ANULADA EN VIGENCIA</v>
          </cell>
          <cell r="AP2251">
            <v>16877280</v>
          </cell>
        </row>
        <row r="2252">
          <cell r="AE2252" t="str">
            <v>05 - ANULADA EN VIGENCIA</v>
          </cell>
          <cell r="AP2252">
            <v>2009562399</v>
          </cell>
        </row>
        <row r="2253">
          <cell r="AE2253" t="str">
            <v>05 - ANULADA EN VIGENCIA</v>
          </cell>
          <cell r="AP2253">
            <v>44822</v>
          </cell>
        </row>
        <row r="2254">
          <cell r="AE2254" t="str">
            <v>08 - VIGENCIA ANTERIOR</v>
          </cell>
          <cell r="AP2254">
            <v>939806</v>
          </cell>
        </row>
        <row r="2255">
          <cell r="AE2255" t="str">
            <v>08 - VIGENCIA ANTERIOR</v>
          </cell>
          <cell r="AP2255">
            <v>1233255</v>
          </cell>
        </row>
        <row r="2256">
          <cell r="AE2256" t="str">
            <v>01 - RENOVADA</v>
          </cell>
          <cell r="AP2256">
            <v>1509990</v>
          </cell>
        </row>
        <row r="2257">
          <cell r="AE2257" t="str">
            <v>04 - NO RENOVADA</v>
          </cell>
          <cell r="AP2257">
            <v>1019930</v>
          </cell>
        </row>
        <row r="2258">
          <cell r="AE2258" t="str">
            <v>05 - ANULADA EN VIGENCIA</v>
          </cell>
          <cell r="AP2258">
            <v>1231928</v>
          </cell>
        </row>
        <row r="2259">
          <cell r="AE2259" t="str">
            <v>05 - ANULADA EN VIGENCIA</v>
          </cell>
          <cell r="AP2259">
            <v>1087927</v>
          </cell>
        </row>
        <row r="2260">
          <cell r="AE2260" t="str">
            <v>04 - NO RENOVADA</v>
          </cell>
          <cell r="AP2260">
            <v>1294400</v>
          </cell>
        </row>
        <row r="2261">
          <cell r="AE2261" t="str">
            <v>05 - ANULADA EN VIGENCIA</v>
          </cell>
          <cell r="AP2261">
            <v>2009566137</v>
          </cell>
        </row>
        <row r="2262">
          <cell r="AE2262" t="str">
            <v>04 - NO RENOVADA</v>
          </cell>
          <cell r="AP2262">
            <v>2009995050</v>
          </cell>
        </row>
        <row r="2263">
          <cell r="AE2263" t="str">
            <v>01 - RENOVADA</v>
          </cell>
          <cell r="AP2263">
            <v>79179</v>
          </cell>
        </row>
        <row r="2264">
          <cell r="AE2264" t="str">
            <v>08 - VIGENCIA ANTERIOR</v>
          </cell>
          <cell r="AP2264">
            <v>2007692025</v>
          </cell>
        </row>
        <row r="2265">
          <cell r="AE2265" t="str">
            <v>01 - RENOVADA</v>
          </cell>
          <cell r="AP2265">
            <v>2009017601</v>
          </cell>
        </row>
        <row r="2266">
          <cell r="AE2266" t="str">
            <v>05 - ANULADA EN VIGENCIA</v>
          </cell>
          <cell r="AP2266">
            <v>2008783623</v>
          </cell>
        </row>
        <row r="2267">
          <cell r="AE2267" t="str">
            <v>04 - NO RENOVADA</v>
          </cell>
          <cell r="AP2267">
            <v>2004219212</v>
          </cell>
        </row>
        <row r="2268">
          <cell r="AE2268" t="str">
            <v>03 - PENDIENTE</v>
          </cell>
          <cell r="AP2268">
            <v>1810040684</v>
          </cell>
        </row>
        <row r="2269">
          <cell r="AE2269" t="str">
            <v>05 - ANULADA EN VIGENCIA</v>
          </cell>
          <cell r="AP2269">
            <v>2003565646</v>
          </cell>
        </row>
        <row r="2270">
          <cell r="AE2270" t="str">
            <v>05 - ANULADA EN VIGENCIA</v>
          </cell>
          <cell r="AP2270">
            <v>2007071102</v>
          </cell>
        </row>
        <row r="2271">
          <cell r="AE2271" t="str">
            <v>03 - PENDIENTE</v>
          </cell>
          <cell r="AP2271">
            <v>10500447</v>
          </cell>
        </row>
        <row r="2272">
          <cell r="AE2272" t="str">
            <v>01 - RENOVADA</v>
          </cell>
          <cell r="AP2272">
            <v>16757269</v>
          </cell>
        </row>
        <row r="2273">
          <cell r="AE2273" t="str">
            <v>04 - NO RENOVADA</v>
          </cell>
          <cell r="AP2273">
            <v>1003102</v>
          </cell>
        </row>
        <row r="2274">
          <cell r="AE2274" t="str">
            <v>04 - NO RENOVADA</v>
          </cell>
          <cell r="AP2274">
            <v>1019600</v>
          </cell>
        </row>
        <row r="2275">
          <cell r="AE2275" t="str">
            <v>04 - NO RENOVADA</v>
          </cell>
          <cell r="AP2275">
            <v>2007538116</v>
          </cell>
        </row>
        <row r="2276">
          <cell r="AE2276" t="str">
            <v>04 - NO RENOVADA</v>
          </cell>
          <cell r="AP2276">
            <v>2007538167</v>
          </cell>
        </row>
        <row r="2277">
          <cell r="AE2277" t="str">
            <v>01 - RENOVADA</v>
          </cell>
          <cell r="AP2277">
            <v>1491908</v>
          </cell>
        </row>
        <row r="2278">
          <cell r="AE2278" t="str">
            <v>04 - NO RENOVADA</v>
          </cell>
          <cell r="AP2278">
            <v>35928</v>
          </cell>
        </row>
        <row r="2279">
          <cell r="AE2279" t="str">
            <v>05 - ANULADA EN VIGENCIA</v>
          </cell>
          <cell r="AP2279">
            <v>2004690204</v>
          </cell>
        </row>
        <row r="2280">
          <cell r="AE2280" t="str">
            <v>05 - ANULADA EN VIGENCIA</v>
          </cell>
          <cell r="AP2280">
            <v>1346752</v>
          </cell>
        </row>
        <row r="2281">
          <cell r="AE2281" t="str">
            <v>05 - ANULADA EN VIGENCIA</v>
          </cell>
          <cell r="AP2281">
            <v>2007079732</v>
          </cell>
        </row>
        <row r="2282">
          <cell r="AE2282" t="str">
            <v>01 - RENOVADA</v>
          </cell>
          <cell r="AP2282">
            <v>29547</v>
          </cell>
        </row>
        <row r="2283">
          <cell r="AE2283" t="str">
            <v>04 - NO RENOVADA</v>
          </cell>
          <cell r="AP2283">
            <v>960691</v>
          </cell>
        </row>
        <row r="2284">
          <cell r="AE2284" t="str">
            <v>05 - ANULADA EN VIGENCIA</v>
          </cell>
          <cell r="AP2284">
            <v>49961</v>
          </cell>
        </row>
        <row r="2285">
          <cell r="AE2285" t="str">
            <v>05 - ANULADA EN VIGENCIA</v>
          </cell>
          <cell r="AP2285">
            <v>35954</v>
          </cell>
        </row>
        <row r="2286">
          <cell r="AE2286" t="str">
            <v>04 - NO RENOVADA</v>
          </cell>
          <cell r="AP2286">
            <v>129532798</v>
          </cell>
        </row>
        <row r="2287">
          <cell r="AE2287" t="str">
            <v>01 - RENOVADA</v>
          </cell>
          <cell r="AP2287">
            <v>1548754</v>
          </cell>
        </row>
        <row r="2288">
          <cell r="AE2288" t="str">
            <v>04 - NO RENOVADA</v>
          </cell>
          <cell r="AP2288">
            <v>2004133386</v>
          </cell>
        </row>
        <row r="2289">
          <cell r="AE2289" t="str">
            <v>05 - ANULADA EN VIGENCIA</v>
          </cell>
          <cell r="AP2289">
            <v>989041</v>
          </cell>
        </row>
        <row r="2290">
          <cell r="AE2290" t="str">
            <v>01 - RENOVADA</v>
          </cell>
          <cell r="AP2290">
            <v>2009004509</v>
          </cell>
        </row>
        <row r="2291">
          <cell r="AE2291" t="str">
            <v>04 - NO RENOVADA</v>
          </cell>
          <cell r="AP2291">
            <v>6605708</v>
          </cell>
        </row>
        <row r="2292">
          <cell r="AE2292" t="str">
            <v>01 - RENOVADA</v>
          </cell>
          <cell r="AP2292">
            <v>2009850014</v>
          </cell>
        </row>
        <row r="2293">
          <cell r="AE2293" t="str">
            <v>04 - NO RENOVADA</v>
          </cell>
          <cell r="AP2293">
            <v>2004690176</v>
          </cell>
        </row>
        <row r="2294">
          <cell r="AE2294" t="str">
            <v>01 - RENOVADA</v>
          </cell>
          <cell r="AP2294">
            <v>2008791925</v>
          </cell>
        </row>
        <row r="2295">
          <cell r="AE2295" t="str">
            <v>05 - ANULADA EN VIGENCIA</v>
          </cell>
          <cell r="AP2295">
            <v>16434591</v>
          </cell>
        </row>
        <row r="2296">
          <cell r="AE2296" t="str">
            <v>04 - NO RENOVADA</v>
          </cell>
          <cell r="AP2296">
            <v>1443605</v>
          </cell>
        </row>
        <row r="2297">
          <cell r="AE2297" t="str">
            <v>04 - NO RENOVADA</v>
          </cell>
          <cell r="AP2297">
            <v>9025957</v>
          </cell>
        </row>
        <row r="2298">
          <cell r="AE2298" t="str">
            <v>05 - ANULADA EN VIGENCIA</v>
          </cell>
          <cell r="AP2298">
            <v>1402598</v>
          </cell>
        </row>
        <row r="2299">
          <cell r="AE2299" t="str">
            <v>08 - VIGENCIA ANTERIOR</v>
          </cell>
          <cell r="AP2299">
            <v>2006677111</v>
          </cell>
        </row>
        <row r="2300">
          <cell r="AE2300" t="str">
            <v>05 - ANULADA EN VIGENCIA</v>
          </cell>
          <cell r="AP2300">
            <v>2009465260</v>
          </cell>
        </row>
        <row r="2301">
          <cell r="AE2301" t="str">
            <v>04 - NO RENOVADA</v>
          </cell>
          <cell r="AP2301">
            <v>17061060</v>
          </cell>
        </row>
        <row r="2302">
          <cell r="AE2302" t="str">
            <v>05 - ANULADA EN VIGENCIA</v>
          </cell>
          <cell r="AP2302" t="str">
            <v>E0026221</v>
          </cell>
        </row>
        <row r="2303">
          <cell r="AE2303" t="str">
            <v>04 - NO RENOVADA</v>
          </cell>
          <cell r="AP2303">
            <v>7299740</v>
          </cell>
        </row>
        <row r="2304">
          <cell r="AE2304" t="str">
            <v>04 - NO RENOVADA</v>
          </cell>
          <cell r="AP2304">
            <v>8112986</v>
          </cell>
        </row>
        <row r="2305">
          <cell r="AE2305" t="str">
            <v>03 - PENDIENTE</v>
          </cell>
          <cell r="AP2305">
            <v>93933</v>
          </cell>
        </row>
        <row r="2306">
          <cell r="AE2306" t="str">
            <v>04 - NO RENOVADA</v>
          </cell>
          <cell r="AP2306">
            <v>16775065</v>
          </cell>
        </row>
        <row r="2307">
          <cell r="AE2307" t="str">
            <v>08 - VIGENCIA ANTERIOR</v>
          </cell>
          <cell r="AP2307">
            <v>2004741346</v>
          </cell>
        </row>
        <row r="2308">
          <cell r="AE2308" t="str">
            <v>08 - VIGENCIA ANTERIOR</v>
          </cell>
          <cell r="AP2308">
            <v>2007010874</v>
          </cell>
        </row>
        <row r="2309">
          <cell r="AE2309" t="str">
            <v>08 - VIGENCIA ANTERIOR</v>
          </cell>
          <cell r="AP2309">
            <v>2008639514</v>
          </cell>
        </row>
        <row r="2310">
          <cell r="AE2310" t="str">
            <v>01 - RENOVADA</v>
          </cell>
          <cell r="AP2310">
            <v>1436701</v>
          </cell>
        </row>
        <row r="2311">
          <cell r="AE2311" t="str">
            <v>05 - ANULADA EN VIGENCIA</v>
          </cell>
          <cell r="AP2311">
            <v>1057460</v>
          </cell>
        </row>
        <row r="2312">
          <cell r="AE2312" t="str">
            <v>04 - NO RENOVADA</v>
          </cell>
          <cell r="AP2312">
            <v>1067174</v>
          </cell>
        </row>
        <row r="2313">
          <cell r="AE2313" t="str">
            <v>04 - NO RENOVADA</v>
          </cell>
          <cell r="AP2313">
            <v>1073726</v>
          </cell>
        </row>
        <row r="2314">
          <cell r="AE2314" t="str">
            <v>05 - ANULADA EN VIGENCIA</v>
          </cell>
          <cell r="AP2314">
            <v>1279176</v>
          </cell>
        </row>
        <row r="2315">
          <cell r="AE2315" t="str">
            <v>08 - VIGENCIA ANTERIOR</v>
          </cell>
          <cell r="AP2315">
            <v>2007466313</v>
          </cell>
        </row>
        <row r="2316">
          <cell r="AE2316" t="str">
            <v>01 - RENOVADA</v>
          </cell>
          <cell r="AP2316">
            <v>70244353</v>
          </cell>
        </row>
        <row r="2317">
          <cell r="AE2317" t="str">
            <v>05 - ANULADA EN VIGENCIA</v>
          </cell>
          <cell r="AP2317">
            <v>36007</v>
          </cell>
        </row>
        <row r="2318">
          <cell r="AE2318" t="str">
            <v>01 - RENOVADA</v>
          </cell>
          <cell r="AP2318">
            <v>9632</v>
          </cell>
        </row>
        <row r="2319">
          <cell r="AE2319" t="str">
            <v>01 - RENOVADA</v>
          </cell>
          <cell r="AP2319">
            <v>70215265</v>
          </cell>
        </row>
        <row r="2320">
          <cell r="AE2320" t="str">
            <v>08 - VIGENCIA ANTERIOR</v>
          </cell>
          <cell r="AP2320">
            <v>1069093</v>
          </cell>
        </row>
        <row r="2321">
          <cell r="AE2321" t="str">
            <v>01 - RENOVADA</v>
          </cell>
          <cell r="AP2321">
            <v>1573562</v>
          </cell>
        </row>
        <row r="2322">
          <cell r="AE2322" t="str">
            <v>04 - NO RENOVADA</v>
          </cell>
          <cell r="AP2322">
            <v>2009404236</v>
          </cell>
        </row>
        <row r="2323">
          <cell r="AE2323" t="str">
            <v>01 - RENOVADA</v>
          </cell>
          <cell r="AP2323">
            <v>70237366</v>
          </cell>
        </row>
        <row r="2324">
          <cell r="AE2324" t="str">
            <v>05 - ANULADA EN VIGENCIA</v>
          </cell>
          <cell r="AP2324">
            <v>16669824</v>
          </cell>
        </row>
        <row r="2325">
          <cell r="AE2325" t="str">
            <v>08 - VIGENCIA ANTERIOR</v>
          </cell>
          <cell r="AP2325">
            <v>1019820</v>
          </cell>
        </row>
        <row r="2326">
          <cell r="AE2326" t="str">
            <v>05 - ANULADA EN VIGENCIA</v>
          </cell>
          <cell r="AP2326">
            <v>1019923</v>
          </cell>
        </row>
        <row r="2327">
          <cell r="AE2327" t="str">
            <v>05 - ANULADA EN VIGENCIA</v>
          </cell>
          <cell r="AP2327">
            <v>1020876</v>
          </cell>
        </row>
        <row r="2328">
          <cell r="AE2328" t="str">
            <v>04 - NO RENOVADA</v>
          </cell>
          <cell r="AP2328">
            <v>1232124</v>
          </cell>
        </row>
        <row r="2329">
          <cell r="AE2329" t="str">
            <v>05 - ANULADA EN VIGENCIA</v>
          </cell>
          <cell r="AP2329">
            <v>872027</v>
          </cell>
        </row>
        <row r="2330">
          <cell r="AE2330" t="str">
            <v>05 - ANULADA EN VIGENCIA</v>
          </cell>
          <cell r="AP2330">
            <v>1000023</v>
          </cell>
        </row>
        <row r="2331">
          <cell r="AE2331" t="str">
            <v>05 - ANULADA EN VIGENCIA</v>
          </cell>
          <cell r="AP2331">
            <v>2009890844</v>
          </cell>
        </row>
        <row r="2332">
          <cell r="AE2332" t="str">
            <v>04 - NO RENOVADA</v>
          </cell>
          <cell r="AP2332">
            <v>1019813</v>
          </cell>
        </row>
        <row r="2333">
          <cell r="AE2333" t="str">
            <v>04 - NO RENOVADA</v>
          </cell>
          <cell r="AP2333">
            <v>1231933</v>
          </cell>
        </row>
        <row r="2334">
          <cell r="AE2334" t="str">
            <v>08 - VIGENCIA ANTERIOR</v>
          </cell>
          <cell r="AP2334">
            <v>1232129</v>
          </cell>
        </row>
        <row r="2335">
          <cell r="AE2335" t="str">
            <v>01 - RENOVADA</v>
          </cell>
          <cell r="AP2335">
            <v>1506700</v>
          </cell>
        </row>
        <row r="2336">
          <cell r="AE2336" t="str">
            <v>05 - ANULADA EN VIGENCIA</v>
          </cell>
          <cell r="AP2336">
            <v>16920406</v>
          </cell>
        </row>
        <row r="2337">
          <cell r="AE2337" t="str">
            <v>05 - ANULADA EN VIGENCIA</v>
          </cell>
          <cell r="AP2337">
            <v>2007025815</v>
          </cell>
        </row>
        <row r="2338">
          <cell r="AE2338" t="str">
            <v>05 - ANULADA EN VIGENCIA</v>
          </cell>
          <cell r="AP2338">
            <v>2007047433</v>
          </cell>
        </row>
        <row r="2339">
          <cell r="AE2339" t="str">
            <v>01 - RENOVADA</v>
          </cell>
          <cell r="AP2339">
            <v>2009901443</v>
          </cell>
        </row>
        <row r="2340">
          <cell r="AE2340" t="str">
            <v>05 - ANULADA EN VIGENCIA</v>
          </cell>
          <cell r="AP2340">
            <v>16747407</v>
          </cell>
        </row>
        <row r="2341">
          <cell r="AE2341" t="str">
            <v>04 - NO RENOVADA</v>
          </cell>
          <cell r="AP2341">
            <v>2007075689</v>
          </cell>
        </row>
        <row r="2342">
          <cell r="AE2342" t="str">
            <v>04 - NO RENOVADA</v>
          </cell>
          <cell r="AP2342">
            <v>1047619</v>
          </cell>
        </row>
        <row r="2343">
          <cell r="AE2343" t="str">
            <v>05 - ANULADA EN VIGENCIA</v>
          </cell>
          <cell r="AP2343">
            <v>990993</v>
          </cell>
        </row>
        <row r="2344">
          <cell r="AE2344" t="str">
            <v>05 - ANULADA EN VIGENCIA</v>
          </cell>
          <cell r="AP2344">
            <v>36166</v>
          </cell>
        </row>
        <row r="2345">
          <cell r="AE2345" t="str">
            <v>03 - PENDIENTE</v>
          </cell>
          <cell r="AP2345">
            <v>105347</v>
          </cell>
        </row>
        <row r="2346">
          <cell r="AE2346" t="str">
            <v>03 - PENDIENTE</v>
          </cell>
          <cell r="AP2346">
            <v>105360</v>
          </cell>
        </row>
        <row r="2347">
          <cell r="AE2347" t="str">
            <v>05 - ANULADA EN VIGENCIA</v>
          </cell>
          <cell r="AP2347">
            <v>2004381796</v>
          </cell>
        </row>
        <row r="2348">
          <cell r="AE2348" t="str">
            <v>05 - ANULADA EN VIGENCIA</v>
          </cell>
          <cell r="AP2348">
            <v>1029089</v>
          </cell>
        </row>
        <row r="2349">
          <cell r="AE2349" t="str">
            <v>05 - ANULADA EN VIGENCIA</v>
          </cell>
          <cell r="AP2349">
            <v>1234099</v>
          </cell>
        </row>
        <row r="2350">
          <cell r="AE2350" t="str">
            <v>07 - DEVUELTO A AON</v>
          </cell>
          <cell r="AP2350">
            <v>2007545645</v>
          </cell>
        </row>
        <row r="2351">
          <cell r="AE2351" t="str">
            <v>04 - NO RENOVADA</v>
          </cell>
          <cell r="AP2351">
            <v>2005175519</v>
          </cell>
        </row>
        <row r="2352">
          <cell r="AE2352" t="str">
            <v>08 - VIGENCIA ANTERIOR</v>
          </cell>
          <cell r="AP2352">
            <v>364909</v>
          </cell>
        </row>
        <row r="2353">
          <cell r="AE2353" t="str">
            <v>01 - RENOVADA</v>
          </cell>
          <cell r="AP2353">
            <v>1517631</v>
          </cell>
        </row>
        <row r="2354">
          <cell r="AE2354" t="str">
            <v>01 - RENOVADA</v>
          </cell>
          <cell r="AP2354">
            <v>70223508</v>
          </cell>
        </row>
        <row r="2355">
          <cell r="AE2355" t="str">
            <v>04 - NO RENOVADA</v>
          </cell>
          <cell r="AP2355">
            <v>3022200370607</v>
          </cell>
        </row>
        <row r="2356">
          <cell r="AE2356" t="str">
            <v>08 - VIGENCIA ANTERIOR</v>
          </cell>
          <cell r="AP2356">
            <v>1056911</v>
          </cell>
        </row>
        <row r="2357">
          <cell r="AE2357" t="str">
            <v>04 - NO RENOVADA</v>
          </cell>
          <cell r="AP2357">
            <v>1263510</v>
          </cell>
        </row>
        <row r="2358">
          <cell r="AE2358" t="str">
            <v>05 - ANULADA EN VIGENCIA</v>
          </cell>
          <cell r="AP2358">
            <v>2009687393</v>
          </cell>
        </row>
        <row r="2359">
          <cell r="AE2359" t="str">
            <v>05 - ANULADA EN VIGENCIA</v>
          </cell>
          <cell r="AP2359">
            <v>1506662</v>
          </cell>
        </row>
        <row r="2360">
          <cell r="AE2360" t="str">
            <v>04 - NO RENOVADA</v>
          </cell>
          <cell r="AP2360">
            <v>948031</v>
          </cell>
        </row>
        <row r="2361">
          <cell r="AE2361" t="str">
            <v>04 - NO RENOVADA</v>
          </cell>
          <cell r="AP2361">
            <v>1071085</v>
          </cell>
        </row>
        <row r="2362">
          <cell r="AE2362" t="str">
            <v>05 - ANULADA EN VIGENCIA</v>
          </cell>
          <cell r="AP2362">
            <v>31222</v>
          </cell>
        </row>
        <row r="2363">
          <cell r="AE2363" t="str">
            <v>05 - ANULADA EN VIGENCIA</v>
          </cell>
          <cell r="AP2363">
            <v>1073707</v>
          </cell>
        </row>
        <row r="2364">
          <cell r="AE2364" t="str">
            <v>05 - ANULADA EN VIGENCIA</v>
          </cell>
          <cell r="AP2364">
            <v>967232</v>
          </cell>
        </row>
        <row r="2365">
          <cell r="AE2365" t="str">
            <v>05 - ANULADA EN VIGENCIA</v>
          </cell>
          <cell r="AP2365">
            <v>1126613</v>
          </cell>
        </row>
        <row r="2366">
          <cell r="AE2366" t="str">
            <v>05 - ANULADA EN VIGENCIA</v>
          </cell>
          <cell r="AP2366">
            <v>1029091</v>
          </cell>
        </row>
        <row r="2367">
          <cell r="AE2367" t="str">
            <v>05 - ANULADA EN VIGENCIA</v>
          </cell>
          <cell r="AP2367">
            <v>1234100</v>
          </cell>
        </row>
        <row r="2368">
          <cell r="AE2368" t="str">
            <v>04 - NO RENOVADA</v>
          </cell>
          <cell r="AP2368">
            <v>2006422664</v>
          </cell>
        </row>
        <row r="2369">
          <cell r="AE2369" t="str">
            <v>05 - ANULADA EN VIGENCIA</v>
          </cell>
          <cell r="AP2369">
            <v>2009451949</v>
          </cell>
        </row>
        <row r="2370">
          <cell r="AE2370" t="str">
            <v>04 - NO RENOVADA</v>
          </cell>
          <cell r="AP2370">
            <v>2007620146</v>
          </cell>
        </row>
        <row r="2371">
          <cell r="AE2371" t="str">
            <v>05 - ANULADA EN VIGENCIA</v>
          </cell>
          <cell r="AP2371">
            <v>2009010668</v>
          </cell>
        </row>
        <row r="2372">
          <cell r="AE2372" t="str">
            <v>04 - NO RENOVADA</v>
          </cell>
          <cell r="AP2372">
            <v>124191978</v>
          </cell>
        </row>
        <row r="2373">
          <cell r="AE2373" t="str">
            <v>04 - NO RENOVADA</v>
          </cell>
          <cell r="AP2373" t="str">
            <v>E0035204</v>
          </cell>
        </row>
        <row r="2374">
          <cell r="AE2374" t="str">
            <v>05 - ANULADA EN VIGENCIA</v>
          </cell>
          <cell r="AP2374">
            <v>56879</v>
          </cell>
        </row>
        <row r="2375">
          <cell r="AE2375" t="str">
            <v>05 - ANULADA EN VIGENCIA</v>
          </cell>
          <cell r="AP2375">
            <v>74598</v>
          </cell>
        </row>
        <row r="2376">
          <cell r="AE2376" t="str">
            <v>05 - ANULADA EN VIGENCIA</v>
          </cell>
          <cell r="AP2376">
            <v>1259912</v>
          </cell>
        </row>
        <row r="2377">
          <cell r="AE2377" t="str">
            <v>05 - ANULADA EN VIGENCIA</v>
          </cell>
          <cell r="AP2377">
            <v>1080987</v>
          </cell>
        </row>
        <row r="2378">
          <cell r="AE2378" t="str">
            <v>01 - RENOVADA</v>
          </cell>
          <cell r="AP2378">
            <v>70228435</v>
          </cell>
        </row>
        <row r="2379">
          <cell r="AE2379" t="str">
            <v>01 - RENOVADA</v>
          </cell>
          <cell r="AP2379">
            <v>2011426705</v>
          </cell>
        </row>
        <row r="2380">
          <cell r="AE2380" t="str">
            <v>05 - ANULADA EN VIGENCIA</v>
          </cell>
          <cell r="AP2380">
            <v>16686729</v>
          </cell>
        </row>
        <row r="2381">
          <cell r="AE2381" t="str">
            <v>05 - ANULADA EN VIGENCIA</v>
          </cell>
          <cell r="AP2381">
            <v>5546</v>
          </cell>
        </row>
        <row r="2382">
          <cell r="AE2382" t="str">
            <v>05 - ANULADA EN VIGENCIA</v>
          </cell>
          <cell r="AP2382">
            <v>2004432644</v>
          </cell>
        </row>
        <row r="2383">
          <cell r="AE2383" t="str">
            <v>01 - RENOVADA</v>
          </cell>
          <cell r="AP2383">
            <v>16760178</v>
          </cell>
        </row>
        <row r="2384">
          <cell r="AE2384" t="str">
            <v>05 - ANULADA EN VIGENCIA</v>
          </cell>
          <cell r="AP2384">
            <v>938378</v>
          </cell>
        </row>
        <row r="2385">
          <cell r="AE2385" t="str">
            <v>01 - RENOVADA</v>
          </cell>
          <cell r="AP2385">
            <v>1490594</v>
          </cell>
        </row>
        <row r="2386">
          <cell r="AE2386" t="str">
            <v>05 - ANULADA EN VIGENCIA</v>
          </cell>
          <cell r="AP2386">
            <v>1235308</v>
          </cell>
        </row>
        <row r="2387">
          <cell r="AE2387" t="str">
            <v>08 - VIGENCIA ANTERIOR</v>
          </cell>
          <cell r="AP2387">
            <v>7816936</v>
          </cell>
        </row>
        <row r="2388">
          <cell r="AE2388" t="str">
            <v>01 - RENOVADA</v>
          </cell>
          <cell r="AP2388">
            <v>520443</v>
          </cell>
        </row>
        <row r="2389">
          <cell r="AE2389" t="str">
            <v>01 - RENOVADA</v>
          </cell>
          <cell r="AP2389">
            <v>2010226311</v>
          </cell>
        </row>
        <row r="2390">
          <cell r="AE2390" t="str">
            <v>05 - ANULADA EN VIGENCIA</v>
          </cell>
          <cell r="AP2390">
            <v>1438056</v>
          </cell>
        </row>
        <row r="2391">
          <cell r="AE2391" t="str">
            <v>08 - VIGENCIA ANTERIOR</v>
          </cell>
          <cell r="AP2391">
            <v>943912</v>
          </cell>
        </row>
        <row r="2392">
          <cell r="AE2392" t="str">
            <v>08 - VIGENCIA ANTERIOR</v>
          </cell>
          <cell r="AP2392">
            <v>1243993</v>
          </cell>
        </row>
        <row r="2393">
          <cell r="AE2393" t="str">
            <v>05 - ANULADA EN VIGENCIA</v>
          </cell>
          <cell r="AP2393">
            <v>1426099</v>
          </cell>
        </row>
        <row r="2394">
          <cell r="AE2394" t="str">
            <v>08 - VIGENCIA ANTERIOR</v>
          </cell>
          <cell r="AP2394">
            <v>2004655428</v>
          </cell>
        </row>
        <row r="2395">
          <cell r="AE2395" t="str">
            <v>08 - VIGENCIA ANTERIOR</v>
          </cell>
          <cell r="AP2395">
            <v>1046970</v>
          </cell>
        </row>
        <row r="2396">
          <cell r="AE2396" t="str">
            <v>08 - VIGENCIA ANTERIOR</v>
          </cell>
          <cell r="AP2396">
            <v>30088607</v>
          </cell>
        </row>
        <row r="2397">
          <cell r="AE2397" t="str">
            <v>04 - NO RENOVADA</v>
          </cell>
          <cell r="AP2397">
            <v>1247431</v>
          </cell>
        </row>
        <row r="2398">
          <cell r="AE2398" t="str">
            <v>08 - VIGENCIA ANTERIOR</v>
          </cell>
          <cell r="AP2398">
            <v>7909766</v>
          </cell>
        </row>
        <row r="2399">
          <cell r="AE2399" t="str">
            <v>05 - ANULADA EN VIGENCIA</v>
          </cell>
          <cell r="AP2399">
            <v>79893</v>
          </cell>
        </row>
        <row r="2400">
          <cell r="AE2400" t="str">
            <v>01 - RENOVADA</v>
          </cell>
          <cell r="AP2400">
            <v>70227862</v>
          </cell>
        </row>
        <row r="2401">
          <cell r="AE2401" t="str">
            <v>05 - ANULADA EN VIGENCIA</v>
          </cell>
          <cell r="AP2401">
            <v>54205</v>
          </cell>
        </row>
        <row r="2402">
          <cell r="AE2402" t="str">
            <v>05 - ANULADA EN VIGENCIA</v>
          </cell>
          <cell r="AP2402">
            <v>2002583381</v>
          </cell>
        </row>
        <row r="2403">
          <cell r="AE2403" t="str">
            <v>05 - ANULADA EN VIGENCIA</v>
          </cell>
          <cell r="AP2403">
            <v>2003545981</v>
          </cell>
        </row>
        <row r="2404">
          <cell r="AE2404" t="str">
            <v>05 - ANULADA EN VIGENCIA</v>
          </cell>
          <cell r="AP2404">
            <v>71532</v>
          </cell>
        </row>
        <row r="2405">
          <cell r="AE2405" t="str">
            <v>03 - PENDIENTE</v>
          </cell>
          <cell r="AP2405">
            <v>70246004</v>
          </cell>
        </row>
        <row r="2406">
          <cell r="AE2406" t="str">
            <v>04 - NO RENOVADA</v>
          </cell>
          <cell r="AP2406">
            <v>30072225</v>
          </cell>
        </row>
        <row r="2407">
          <cell r="AE2407" t="str">
            <v>01 - RENOVADA</v>
          </cell>
          <cell r="AP2407">
            <v>717356</v>
          </cell>
        </row>
        <row r="2408">
          <cell r="AE2408" t="str">
            <v>05 - ANULADA EN VIGENCIA</v>
          </cell>
          <cell r="AP2408">
            <v>2006621529</v>
          </cell>
        </row>
        <row r="2409">
          <cell r="AE2409" t="str">
            <v>04 - NO RENOVADA</v>
          </cell>
          <cell r="AP2409">
            <v>989029</v>
          </cell>
        </row>
        <row r="2410">
          <cell r="AE2410" t="str">
            <v>05 - ANULADA EN VIGENCIA</v>
          </cell>
          <cell r="AP2410">
            <v>1007021</v>
          </cell>
        </row>
        <row r="2411">
          <cell r="AE2411" t="str">
            <v>04 - NO RENOVADA</v>
          </cell>
          <cell r="AP2411">
            <v>990434</v>
          </cell>
        </row>
        <row r="2412">
          <cell r="AE2412" t="str">
            <v>01 - RENOVADA</v>
          </cell>
          <cell r="AP2412">
            <v>2009849110</v>
          </cell>
        </row>
        <row r="2413">
          <cell r="AE2413" t="str">
            <v>05 - ANULADA EN VIGENCIA</v>
          </cell>
          <cell r="AP2413">
            <v>872046</v>
          </cell>
        </row>
        <row r="2414">
          <cell r="AE2414" t="str">
            <v>05 - ANULADA EN VIGENCIA</v>
          </cell>
          <cell r="AP2414">
            <v>2009000157</v>
          </cell>
        </row>
        <row r="2415">
          <cell r="AE2415" t="str">
            <v>05 - ANULADA EN VIGENCIA</v>
          </cell>
          <cell r="AP2415">
            <v>2010962116</v>
          </cell>
        </row>
        <row r="2416">
          <cell r="AE2416" t="str">
            <v>05 - ANULADA EN VIGENCIA</v>
          </cell>
          <cell r="AP2416">
            <v>2009000217</v>
          </cell>
        </row>
        <row r="2417">
          <cell r="AE2417" t="str">
            <v>08 - VIGENCIA ANTERIOR</v>
          </cell>
          <cell r="AP2417">
            <v>2003737819</v>
          </cell>
        </row>
        <row r="2418">
          <cell r="AE2418" t="str">
            <v>05 - ANULADA EN VIGENCIA</v>
          </cell>
          <cell r="AP2418">
            <v>2006809425</v>
          </cell>
        </row>
        <row r="2419">
          <cell r="AE2419" t="str">
            <v>01 - RENOVADA</v>
          </cell>
          <cell r="AP2419">
            <v>2010746549</v>
          </cell>
        </row>
        <row r="2420">
          <cell r="AE2420" t="str">
            <v>01 - RENOVADA</v>
          </cell>
          <cell r="AP2420">
            <v>2009261463</v>
          </cell>
        </row>
        <row r="2421">
          <cell r="AE2421" t="str">
            <v>04 - NO RENOVADA</v>
          </cell>
          <cell r="AP2421">
            <v>1388827</v>
          </cell>
        </row>
        <row r="2422">
          <cell r="AE2422" t="str">
            <v>01 - RENOVADA</v>
          </cell>
          <cell r="AP2422">
            <v>1402604</v>
          </cell>
        </row>
        <row r="2423">
          <cell r="AE2423" t="str">
            <v>05 - ANULADA EN VIGENCIA</v>
          </cell>
          <cell r="AP2423">
            <v>16863394</v>
          </cell>
        </row>
        <row r="2424">
          <cell r="AE2424" t="str">
            <v>05 - ANULADA EN VIGENCIA</v>
          </cell>
          <cell r="AP2424">
            <v>2004525841</v>
          </cell>
        </row>
        <row r="2425">
          <cell r="AE2425" t="str">
            <v>08 - VIGENCIA ANTERIOR</v>
          </cell>
          <cell r="AP2425">
            <v>1102251</v>
          </cell>
        </row>
        <row r="2426">
          <cell r="AE2426" t="str">
            <v>08 - VIGENCIA ANTERIOR</v>
          </cell>
          <cell r="AP2426">
            <v>1298386</v>
          </cell>
        </row>
        <row r="2427">
          <cell r="AE2427" t="str">
            <v>05 - ANULADA EN VIGENCIA</v>
          </cell>
          <cell r="AP2427">
            <v>1379512</v>
          </cell>
        </row>
        <row r="2428">
          <cell r="AE2428" t="str">
            <v>05 - ANULADA EN VIGENCIA</v>
          </cell>
          <cell r="AP2428">
            <v>9344126</v>
          </cell>
        </row>
        <row r="2429">
          <cell r="AE2429" t="str">
            <v>01 - RENOVADA</v>
          </cell>
          <cell r="AP2429">
            <v>100633102</v>
          </cell>
        </row>
        <row r="2430">
          <cell r="AE2430" t="str">
            <v>05 - ANULADA EN VIGENCIA</v>
          </cell>
          <cell r="AP2430">
            <v>16778004</v>
          </cell>
        </row>
        <row r="2431">
          <cell r="AE2431" t="str">
            <v>05 - ANULADA EN VIGENCIA</v>
          </cell>
          <cell r="AP2431">
            <v>16814955</v>
          </cell>
        </row>
        <row r="2432">
          <cell r="AE2432" t="str">
            <v>05 - ANULADA EN VIGENCIA</v>
          </cell>
          <cell r="AP2432">
            <v>958562</v>
          </cell>
        </row>
        <row r="2433">
          <cell r="AE2433" t="str">
            <v>05 - ANULADA EN VIGENCIA</v>
          </cell>
          <cell r="AP2433">
            <v>1059314</v>
          </cell>
        </row>
        <row r="2434">
          <cell r="AE2434" t="str">
            <v>03 - PENDIENTE</v>
          </cell>
          <cell r="AP2434">
            <v>16706165</v>
          </cell>
        </row>
        <row r="2435">
          <cell r="AE2435" t="str">
            <v>05 - ANULADA EN VIGENCIA</v>
          </cell>
          <cell r="AP2435">
            <v>65571</v>
          </cell>
        </row>
        <row r="2436">
          <cell r="AE2436" t="str">
            <v>05 - ANULADA EN VIGENCIA</v>
          </cell>
          <cell r="AP2436">
            <v>16678625</v>
          </cell>
        </row>
        <row r="2437">
          <cell r="AE2437" t="str">
            <v>01 - RENOVADA</v>
          </cell>
          <cell r="AP2437">
            <v>1548635</v>
          </cell>
        </row>
        <row r="2438">
          <cell r="AE2438" t="str">
            <v>05 - ANULADA EN VIGENCIA</v>
          </cell>
          <cell r="AP2438">
            <v>2003818726</v>
          </cell>
        </row>
        <row r="2439">
          <cell r="AE2439" t="str">
            <v>05 - ANULADA EN VIGENCIA</v>
          </cell>
          <cell r="AP2439">
            <v>2008784903</v>
          </cell>
        </row>
        <row r="2440">
          <cell r="AE2440" t="str">
            <v>01 - RENOVADA</v>
          </cell>
          <cell r="AP2440">
            <v>2009404262</v>
          </cell>
        </row>
        <row r="2441">
          <cell r="AE2441" t="str">
            <v>05 - ANULADA EN VIGENCIA</v>
          </cell>
          <cell r="AP2441">
            <v>1030048</v>
          </cell>
        </row>
        <row r="2442">
          <cell r="AE2442" t="str">
            <v>01 - RENOVADA</v>
          </cell>
          <cell r="AP2442">
            <v>1414886</v>
          </cell>
        </row>
        <row r="2443">
          <cell r="AE2443" t="str">
            <v>03 - PENDIENTE</v>
          </cell>
          <cell r="AP2443">
            <v>90073877</v>
          </cell>
        </row>
        <row r="2444">
          <cell r="AE2444" t="str">
            <v>08 - VIGENCIA ANTERIOR</v>
          </cell>
          <cell r="AP2444">
            <v>2006207315</v>
          </cell>
        </row>
        <row r="2445">
          <cell r="AE2445" t="str">
            <v>01 - RENOVADA</v>
          </cell>
          <cell r="AP2445">
            <v>2008797193</v>
          </cell>
        </row>
        <row r="2446">
          <cell r="AE2446" t="str">
            <v>04 - NO RENOVADA</v>
          </cell>
          <cell r="AP2446">
            <v>1073705</v>
          </cell>
        </row>
        <row r="2447">
          <cell r="AE2447" t="str">
            <v>05 - ANULADA EN VIGENCIA</v>
          </cell>
          <cell r="AP2447">
            <v>77850</v>
          </cell>
        </row>
        <row r="2448">
          <cell r="AE2448" t="str">
            <v>05 - ANULADA EN VIGENCIA</v>
          </cell>
          <cell r="AP2448" t="str">
            <v>E0026612</v>
          </cell>
        </row>
        <row r="2449">
          <cell r="AE2449" t="str">
            <v>01 - RENOVADA</v>
          </cell>
          <cell r="AP2449">
            <v>39658</v>
          </cell>
        </row>
        <row r="2450">
          <cell r="AE2450" t="str">
            <v>08 - VIGENCIA ANTERIOR</v>
          </cell>
          <cell r="AP2450">
            <v>2007337137</v>
          </cell>
        </row>
        <row r="2451">
          <cell r="AE2451" t="str">
            <v>05 - ANULADA EN VIGENCIA</v>
          </cell>
          <cell r="AP2451">
            <v>2008792185</v>
          </cell>
        </row>
        <row r="2452">
          <cell r="AE2452" t="str">
            <v>05 - ANULADA EN VIGENCIA</v>
          </cell>
          <cell r="AP2452">
            <v>55832</v>
          </cell>
        </row>
        <row r="2453">
          <cell r="AE2453" t="str">
            <v>05 - ANULADA EN VIGENCIA</v>
          </cell>
          <cell r="AP2453">
            <v>1059984</v>
          </cell>
        </row>
        <row r="2454">
          <cell r="AE2454" t="str">
            <v>05 - ANULADA EN VIGENCIA</v>
          </cell>
          <cell r="AP2454">
            <v>2004687856</v>
          </cell>
        </row>
        <row r="2455">
          <cell r="AE2455" t="str">
            <v>04 - NO RENOVADA</v>
          </cell>
          <cell r="AP2455">
            <v>2004799819</v>
          </cell>
        </row>
        <row r="2456">
          <cell r="AE2456" t="str">
            <v>05 - ANULADA EN VIGENCIA</v>
          </cell>
          <cell r="AP2456">
            <v>15795544</v>
          </cell>
        </row>
        <row r="2457">
          <cell r="AE2457" t="str">
            <v>05 - ANULADA EN VIGENCIA</v>
          </cell>
          <cell r="AP2457">
            <v>948258</v>
          </cell>
        </row>
        <row r="2458">
          <cell r="AE2458" t="str">
            <v>05 - ANULADA EN VIGENCIA</v>
          </cell>
          <cell r="AP2458">
            <v>1244149</v>
          </cell>
        </row>
        <row r="2459">
          <cell r="AE2459" t="str">
            <v>05 - ANULADA EN VIGENCIA</v>
          </cell>
          <cell r="AP2459">
            <v>1256725</v>
          </cell>
        </row>
        <row r="2460">
          <cell r="AE2460" t="str">
            <v>05 - ANULADA EN VIGENCIA</v>
          </cell>
          <cell r="AP2460">
            <v>1350685</v>
          </cell>
        </row>
        <row r="2461">
          <cell r="AE2461" t="str">
            <v>05 - ANULADA EN VIGENCIA</v>
          </cell>
          <cell r="AP2461">
            <v>1308275</v>
          </cell>
        </row>
        <row r="2462">
          <cell r="AE2462" t="str">
            <v>05 - ANULADA EN VIGENCIA</v>
          </cell>
          <cell r="AP2462">
            <v>1087918</v>
          </cell>
        </row>
        <row r="2463">
          <cell r="AE2463" t="str">
            <v>05 - ANULADA EN VIGENCIA</v>
          </cell>
          <cell r="AP2463">
            <v>1469344</v>
          </cell>
        </row>
        <row r="2464">
          <cell r="AE2464" t="str">
            <v>05 - ANULADA EN VIGENCIA</v>
          </cell>
          <cell r="AP2464">
            <v>2003322891</v>
          </cell>
        </row>
        <row r="2465">
          <cell r="AE2465" t="str">
            <v>05 - ANULADA EN VIGENCIA</v>
          </cell>
          <cell r="AP2465">
            <v>819239</v>
          </cell>
        </row>
        <row r="2466">
          <cell r="AE2466" t="str">
            <v>01 - RENOVADA</v>
          </cell>
          <cell r="AP2466">
            <v>1521065</v>
          </cell>
        </row>
        <row r="2467">
          <cell r="AE2467" t="str">
            <v>01 - RENOVADA</v>
          </cell>
          <cell r="AP2467">
            <v>9559761</v>
          </cell>
        </row>
        <row r="2468">
          <cell r="AE2468" t="str">
            <v>05 - ANULADA EN VIGENCIA</v>
          </cell>
          <cell r="AP2468">
            <v>1112397</v>
          </cell>
        </row>
        <row r="2469">
          <cell r="AE2469" t="str">
            <v>05 - ANULADA EN VIGENCIA</v>
          </cell>
          <cell r="AP2469">
            <v>1063558</v>
          </cell>
        </row>
        <row r="2470">
          <cell r="AE2470" t="str">
            <v>05 - ANULADA EN VIGENCIA</v>
          </cell>
          <cell r="AP2470">
            <v>1279916</v>
          </cell>
        </row>
        <row r="2471">
          <cell r="AE2471" t="str">
            <v>01 - RENOVADA</v>
          </cell>
          <cell r="AP2471">
            <v>70210061</v>
          </cell>
        </row>
        <row r="2472">
          <cell r="AE2472" t="str">
            <v>03 - PENDIENTE</v>
          </cell>
          <cell r="AP2472">
            <v>3430001298</v>
          </cell>
        </row>
        <row r="2473">
          <cell r="AE2473" t="str">
            <v>04 - NO RENOVADA</v>
          </cell>
          <cell r="AP2473">
            <v>2004436007</v>
          </cell>
        </row>
        <row r="2474">
          <cell r="AE2474" t="str">
            <v>01 - RENOVADA</v>
          </cell>
          <cell r="AP2474">
            <v>54020</v>
          </cell>
        </row>
        <row r="2475">
          <cell r="AE2475" t="str">
            <v>01 - RENOVADA</v>
          </cell>
          <cell r="AP2475">
            <v>15888</v>
          </cell>
        </row>
        <row r="2476">
          <cell r="AE2476" t="str">
            <v>01 - RENOVADA</v>
          </cell>
          <cell r="AP2476">
            <v>15889</v>
          </cell>
        </row>
        <row r="2477">
          <cell r="AE2477" t="str">
            <v>01 - RENOVADA</v>
          </cell>
          <cell r="AP2477">
            <v>15890</v>
          </cell>
        </row>
        <row r="2478">
          <cell r="AE2478" t="str">
            <v>01 - RENOVADA</v>
          </cell>
          <cell r="AP2478">
            <v>15892</v>
          </cell>
        </row>
        <row r="2479">
          <cell r="AE2479" t="str">
            <v>01 - RENOVADA</v>
          </cell>
          <cell r="AP2479">
            <v>71093</v>
          </cell>
        </row>
        <row r="2480">
          <cell r="AE2480" t="str">
            <v>08 - VIGENCIA ANTERIOR</v>
          </cell>
          <cell r="AP2480">
            <v>857688</v>
          </cell>
        </row>
        <row r="2481">
          <cell r="AE2481" t="str">
            <v>08 - VIGENCIA ANTERIOR</v>
          </cell>
          <cell r="AP2481">
            <v>1243967</v>
          </cell>
        </row>
        <row r="2482">
          <cell r="AE2482" t="str">
            <v>01 - RENOVADA</v>
          </cell>
          <cell r="AP2482">
            <v>1426104</v>
          </cell>
        </row>
        <row r="2483">
          <cell r="AE2483" t="str">
            <v>04 - NO RENOVADA</v>
          </cell>
          <cell r="AP2483">
            <v>78602</v>
          </cell>
        </row>
        <row r="2484">
          <cell r="AE2484" t="str">
            <v>01 - RENOVADA</v>
          </cell>
          <cell r="AP2484">
            <v>2010718359</v>
          </cell>
        </row>
        <row r="2485">
          <cell r="AE2485" t="str">
            <v>01 - RENOVADA</v>
          </cell>
          <cell r="AP2485">
            <v>2010774270</v>
          </cell>
        </row>
        <row r="2486">
          <cell r="AE2486" t="str">
            <v>05 - ANULADA EN VIGENCIA</v>
          </cell>
          <cell r="AP2486">
            <v>78685</v>
          </cell>
        </row>
        <row r="2487">
          <cell r="AE2487" t="str">
            <v>05 - ANULADA EN VIGENCIA</v>
          </cell>
          <cell r="AP2487">
            <v>2010766521</v>
          </cell>
        </row>
        <row r="2488">
          <cell r="AE2488" t="str">
            <v>05 - ANULADA EN VIGENCIA</v>
          </cell>
          <cell r="AP2488">
            <v>35988</v>
          </cell>
        </row>
        <row r="2489">
          <cell r="AE2489" t="str">
            <v>04 - NO RENOVADA</v>
          </cell>
          <cell r="AP2489">
            <v>2005832842</v>
          </cell>
        </row>
        <row r="2490">
          <cell r="AE2490" t="str">
            <v>05 - ANULADA EN VIGENCIA</v>
          </cell>
          <cell r="AP2490">
            <v>3012100009281</v>
          </cell>
        </row>
        <row r="2491">
          <cell r="AE2491" t="str">
            <v>01 - RENOVADA</v>
          </cell>
          <cell r="AP2491">
            <v>1519228</v>
          </cell>
        </row>
        <row r="2492">
          <cell r="AE2492" t="str">
            <v>05 - ANULADA EN VIGENCIA</v>
          </cell>
          <cell r="AP2492">
            <v>2009902056</v>
          </cell>
        </row>
        <row r="2493">
          <cell r="AE2493" t="str">
            <v>05 - ANULADA EN VIGENCIA</v>
          </cell>
          <cell r="AP2493">
            <v>950739</v>
          </cell>
        </row>
        <row r="2494">
          <cell r="AE2494" t="str">
            <v>05 - ANULADA EN VIGENCIA</v>
          </cell>
          <cell r="AP2494">
            <v>951123</v>
          </cell>
        </row>
        <row r="2495">
          <cell r="AE2495" t="str">
            <v>01 - RENOVADA</v>
          </cell>
          <cell r="AP2495">
            <v>70252344</v>
          </cell>
        </row>
        <row r="2496">
          <cell r="AE2496" t="str">
            <v>01 - RENOVADA</v>
          </cell>
          <cell r="AP2496">
            <v>1418826</v>
          </cell>
        </row>
        <row r="2497">
          <cell r="AE2497" t="str">
            <v>03 - PENDIENTE</v>
          </cell>
          <cell r="AP2497">
            <v>40724</v>
          </cell>
        </row>
        <row r="2498">
          <cell r="AE2498" t="str">
            <v>08 - VIGENCIA ANTERIOR</v>
          </cell>
          <cell r="AP2498">
            <v>1059977</v>
          </cell>
        </row>
        <row r="2499">
          <cell r="AE2499" t="str">
            <v>05 - ANULADA EN VIGENCIA</v>
          </cell>
          <cell r="AP2499">
            <v>1269396</v>
          </cell>
        </row>
        <row r="2500">
          <cell r="AE2500" t="str">
            <v>05 - ANULADA EN VIGENCIA</v>
          </cell>
          <cell r="AP2500">
            <v>78131</v>
          </cell>
        </row>
        <row r="2501">
          <cell r="AE2501" t="str">
            <v>04 - NO RENOVADA</v>
          </cell>
          <cell r="AP2501">
            <v>1059974</v>
          </cell>
        </row>
        <row r="2502">
          <cell r="AE2502" t="str">
            <v>05 - ANULADA EN VIGENCIA</v>
          </cell>
          <cell r="AP2502">
            <v>1161910109885</v>
          </cell>
        </row>
        <row r="2503">
          <cell r="AE2503" t="str">
            <v>05 - ANULADA EN VIGENCIA</v>
          </cell>
          <cell r="AP2503">
            <v>6501657</v>
          </cell>
        </row>
        <row r="2504">
          <cell r="AE2504" t="str">
            <v>05 - ANULADA EN VIGENCIA</v>
          </cell>
          <cell r="AP2504">
            <v>2009465158</v>
          </cell>
        </row>
        <row r="2505">
          <cell r="AE2505" t="str">
            <v>05 - ANULADA EN VIGENCIA</v>
          </cell>
          <cell r="AP2505">
            <v>2009465158</v>
          </cell>
        </row>
        <row r="2506">
          <cell r="AE2506" t="str">
            <v>05 - ANULADA EN VIGENCIA</v>
          </cell>
          <cell r="AP2506">
            <v>997336</v>
          </cell>
        </row>
        <row r="2507">
          <cell r="AE2507" t="str">
            <v>01 - RENOVADA</v>
          </cell>
          <cell r="AP2507">
            <v>2009823265</v>
          </cell>
        </row>
        <row r="2508">
          <cell r="AE2508" t="str">
            <v>05 - ANULADA EN VIGENCIA</v>
          </cell>
          <cell r="AP2508">
            <v>2003802593</v>
          </cell>
        </row>
        <row r="2509">
          <cell r="AE2509" t="str">
            <v>04 - NO RENOVADA</v>
          </cell>
          <cell r="AP2509">
            <v>129129903</v>
          </cell>
        </row>
        <row r="2510">
          <cell r="AE2510" t="str">
            <v>05 - ANULADA EN VIGENCIA</v>
          </cell>
          <cell r="AP2510">
            <v>72216</v>
          </cell>
        </row>
        <row r="2511">
          <cell r="AE2511" t="str">
            <v>01 - RENOVADA</v>
          </cell>
          <cell r="AP2511">
            <v>16489537</v>
          </cell>
        </row>
        <row r="2512">
          <cell r="AE2512" t="str">
            <v>05 - ANULADA EN VIGENCIA</v>
          </cell>
          <cell r="AP2512">
            <v>2005453427</v>
          </cell>
        </row>
        <row r="2513">
          <cell r="AE2513" t="str">
            <v>01 - RENOVADA</v>
          </cell>
          <cell r="AP2513">
            <v>1492045</v>
          </cell>
        </row>
        <row r="2514">
          <cell r="AE2514" t="str">
            <v>04 - NO RENOVADA</v>
          </cell>
          <cell r="AP2514">
            <v>2005007445</v>
          </cell>
        </row>
        <row r="2515">
          <cell r="AE2515" t="str">
            <v>01 - RENOVADA</v>
          </cell>
          <cell r="AP2515">
            <v>2009501485</v>
          </cell>
        </row>
        <row r="2516">
          <cell r="AE2516" t="str">
            <v>05 - ANULADA EN VIGENCIA</v>
          </cell>
          <cell r="AP2516">
            <v>2005734016</v>
          </cell>
        </row>
        <row r="2517">
          <cell r="AE2517" t="str">
            <v>05 - ANULADA EN VIGENCIA</v>
          </cell>
          <cell r="AP2517">
            <v>2004655451</v>
          </cell>
        </row>
        <row r="2518">
          <cell r="AE2518" t="str">
            <v>05 - ANULADA EN VIGENCIA</v>
          </cell>
          <cell r="AP2518">
            <v>1073718</v>
          </cell>
        </row>
        <row r="2519">
          <cell r="AE2519" t="str">
            <v>05 - ANULADA EN VIGENCIA</v>
          </cell>
          <cell r="AP2519">
            <v>1279189</v>
          </cell>
        </row>
        <row r="2520">
          <cell r="AE2520" t="str">
            <v>05 - ANULADA EN VIGENCIA</v>
          </cell>
          <cell r="AP2520">
            <v>1358969</v>
          </cell>
        </row>
        <row r="2521">
          <cell r="AE2521" t="str">
            <v>01 - RENOVADA</v>
          </cell>
          <cell r="AP2521">
            <v>51400</v>
          </cell>
        </row>
        <row r="2522">
          <cell r="AE2522" t="str">
            <v>01 - RENOVADA</v>
          </cell>
          <cell r="AP2522" t="str">
            <v>E0034069</v>
          </cell>
        </row>
        <row r="2523">
          <cell r="AE2523" t="str">
            <v>05 - ANULADA EN VIGENCIA</v>
          </cell>
          <cell r="AP2523">
            <v>871983</v>
          </cell>
        </row>
        <row r="2524">
          <cell r="AE2524" t="str">
            <v>05 - ANULADA EN VIGENCIA</v>
          </cell>
          <cell r="AP2524" t="str">
            <v>29I230949230</v>
          </cell>
        </row>
        <row r="2525">
          <cell r="AE2525" t="str">
            <v>01 - RENOVADA</v>
          </cell>
          <cell r="AP2525" t="str">
            <v>E0037766</v>
          </cell>
        </row>
        <row r="2526">
          <cell r="AE2526" t="str">
            <v>01 - RENOVADA</v>
          </cell>
          <cell r="AP2526">
            <v>2010767996</v>
          </cell>
        </row>
        <row r="2527">
          <cell r="AE2527" t="str">
            <v>08 - VIGENCIA ANTERIOR</v>
          </cell>
          <cell r="AP2527">
            <v>1097009</v>
          </cell>
        </row>
        <row r="2528">
          <cell r="AE2528" t="str">
            <v>08 - VIGENCIA ANTERIOR</v>
          </cell>
          <cell r="AP2528">
            <v>1298393</v>
          </cell>
        </row>
        <row r="2529">
          <cell r="AE2529" t="str">
            <v>03 - PENDIENTE</v>
          </cell>
          <cell r="AP2529">
            <v>1469516</v>
          </cell>
        </row>
        <row r="2530">
          <cell r="AE2530" t="str">
            <v>04 - NO RENOVADA</v>
          </cell>
          <cell r="AP2530">
            <v>47137</v>
          </cell>
        </row>
        <row r="2531">
          <cell r="AE2531" t="str">
            <v>04 - NO RENOVADA</v>
          </cell>
          <cell r="AP2531">
            <v>36027</v>
          </cell>
        </row>
        <row r="2532">
          <cell r="AE2532" t="str">
            <v>05 - ANULADA EN VIGENCIA</v>
          </cell>
          <cell r="AP2532">
            <v>1232123</v>
          </cell>
        </row>
        <row r="2533">
          <cell r="AE2533" t="str">
            <v>01 - RENOVADA</v>
          </cell>
          <cell r="AP2533">
            <v>1536831</v>
          </cell>
        </row>
        <row r="2534">
          <cell r="AE2534" t="str">
            <v>04 - NO RENOVADA</v>
          </cell>
          <cell r="AP2534">
            <v>1073696</v>
          </cell>
        </row>
        <row r="2535">
          <cell r="AE2535" t="str">
            <v>05 - ANULADA EN VIGENCIA</v>
          </cell>
          <cell r="AP2535">
            <v>1266360</v>
          </cell>
        </row>
        <row r="2536">
          <cell r="AE2536" t="str">
            <v>03 - PENDIENTE</v>
          </cell>
          <cell r="AP2536">
            <v>1396507</v>
          </cell>
        </row>
        <row r="2537">
          <cell r="AE2537" t="str">
            <v>05 - ANULADA EN VIGENCIA</v>
          </cell>
          <cell r="AP2537">
            <v>71736</v>
          </cell>
        </row>
        <row r="2538">
          <cell r="AE2538" t="str">
            <v>05 - ANULADA EN VIGENCIA</v>
          </cell>
          <cell r="AP2538">
            <v>2006923491</v>
          </cell>
        </row>
        <row r="2539">
          <cell r="AE2539" t="str">
            <v>08 - VIGENCIA ANTERIOR</v>
          </cell>
          <cell r="AP2539">
            <v>834667</v>
          </cell>
        </row>
        <row r="2540">
          <cell r="AE2540" t="str">
            <v>01 - RENOVADA</v>
          </cell>
          <cell r="AP2540">
            <v>1408038</v>
          </cell>
        </row>
        <row r="2541">
          <cell r="AE2541" t="str">
            <v>01 - RENOVADA</v>
          </cell>
          <cell r="AP2541">
            <v>43518</v>
          </cell>
        </row>
        <row r="2542">
          <cell r="AE2542" t="str">
            <v>01 - RENOVADA</v>
          </cell>
          <cell r="AP2542">
            <v>2010733452</v>
          </cell>
        </row>
        <row r="2543">
          <cell r="AE2543" t="str">
            <v>01 - RENOVADA</v>
          </cell>
          <cell r="AP2543">
            <v>2008496481</v>
          </cell>
        </row>
        <row r="2544">
          <cell r="AE2544" t="str">
            <v>05 - ANULADA EN VIGENCIA</v>
          </cell>
          <cell r="AP2544">
            <v>2007501003</v>
          </cell>
        </row>
        <row r="2545">
          <cell r="AE2545" t="str">
            <v>05 - ANULADA EN VIGENCIA</v>
          </cell>
          <cell r="AP2545">
            <v>2009009982</v>
          </cell>
        </row>
        <row r="2546">
          <cell r="AE2546" t="str">
            <v>03 - PENDIENTE</v>
          </cell>
          <cell r="AP2546">
            <v>70199962</v>
          </cell>
        </row>
        <row r="2547">
          <cell r="AE2547" t="str">
            <v>04 - NO RENOVADA</v>
          </cell>
          <cell r="AP2547">
            <v>3022200244035</v>
          </cell>
        </row>
        <row r="2548">
          <cell r="AE2548" t="str">
            <v>04 - NO RENOVADA</v>
          </cell>
          <cell r="AP2548">
            <v>3022200340389</v>
          </cell>
        </row>
        <row r="2549">
          <cell r="AE2549" t="str">
            <v>01 - RENOVADA</v>
          </cell>
          <cell r="AP2549">
            <v>70236751</v>
          </cell>
        </row>
        <row r="2550">
          <cell r="AE2550" t="str">
            <v>01 - RENOVADA</v>
          </cell>
          <cell r="AP2550">
            <v>1488144</v>
          </cell>
        </row>
        <row r="2551">
          <cell r="AE2551" t="str">
            <v>04 - NO RENOVADA</v>
          </cell>
          <cell r="AP2551">
            <v>1280492</v>
          </cell>
        </row>
        <row r="2552">
          <cell r="AE2552" t="str">
            <v>04 - NO RENOVADA</v>
          </cell>
          <cell r="AP2552">
            <v>1087926</v>
          </cell>
        </row>
        <row r="2553">
          <cell r="AE2553" t="str">
            <v>05 - ANULADA EN VIGENCIA</v>
          </cell>
          <cell r="AP2553">
            <v>1295136</v>
          </cell>
        </row>
        <row r="2554">
          <cell r="AE2554" t="str">
            <v>05 - ANULADA EN VIGENCIA</v>
          </cell>
          <cell r="AP2554">
            <v>2002519383</v>
          </cell>
        </row>
        <row r="2555">
          <cell r="AE2555" t="str">
            <v>05 - ANULADA EN VIGENCIA</v>
          </cell>
          <cell r="AP2555">
            <v>2004744091</v>
          </cell>
        </row>
        <row r="2556">
          <cell r="AE2556" t="str">
            <v>05 - ANULADA EN VIGENCIA</v>
          </cell>
          <cell r="AP2556">
            <v>2006551899</v>
          </cell>
        </row>
        <row r="2557">
          <cell r="AE2557" t="str">
            <v>05 - ANULADA EN VIGENCIA</v>
          </cell>
          <cell r="AP2557">
            <v>2007167079</v>
          </cell>
        </row>
        <row r="2558">
          <cell r="AE2558" t="str">
            <v>05 - ANULADA EN VIGENCIA</v>
          </cell>
          <cell r="AP2558">
            <v>2008501296</v>
          </cell>
        </row>
        <row r="2559">
          <cell r="AE2559" t="str">
            <v>08 - VIGENCIA ANTERIOR</v>
          </cell>
          <cell r="AP2559">
            <v>1020716</v>
          </cell>
        </row>
        <row r="2560">
          <cell r="AE2560" t="str">
            <v>04 - NO RENOVADA</v>
          </cell>
          <cell r="AP2560">
            <v>1115748</v>
          </cell>
        </row>
        <row r="2561">
          <cell r="AE2561" t="str">
            <v>05 - ANULADA EN VIGENCIA</v>
          </cell>
          <cell r="AP2561">
            <v>1269438</v>
          </cell>
        </row>
        <row r="2562">
          <cell r="AE2562" t="str">
            <v>05 - ANULADA EN VIGENCIA</v>
          </cell>
          <cell r="AP2562">
            <v>1361463</v>
          </cell>
        </row>
        <row r="2563">
          <cell r="AE2563" t="str">
            <v>04 - NO RENOVADA</v>
          </cell>
          <cell r="AP2563">
            <v>2003934351</v>
          </cell>
        </row>
        <row r="2564">
          <cell r="AE2564" t="str">
            <v>05 - ANULADA EN VIGENCIA</v>
          </cell>
          <cell r="AP2564">
            <v>2005306418</v>
          </cell>
        </row>
        <row r="2565">
          <cell r="AE2565" t="str">
            <v>05 - ANULADA EN VIGENCIA</v>
          </cell>
          <cell r="AP2565">
            <v>1036898</v>
          </cell>
        </row>
        <row r="2566">
          <cell r="AE2566" t="str">
            <v>04 - NO RENOVADA</v>
          </cell>
          <cell r="AP2566">
            <v>2007048500</v>
          </cell>
        </row>
        <row r="2567">
          <cell r="AE2567" t="str">
            <v>05 - ANULADA EN VIGENCIA</v>
          </cell>
          <cell r="AP2567">
            <v>1003215</v>
          </cell>
        </row>
        <row r="2568">
          <cell r="AE2568" t="str">
            <v>05 - ANULADA EN VIGENCIA</v>
          </cell>
          <cell r="AP2568">
            <v>1126079</v>
          </cell>
        </row>
        <row r="2569">
          <cell r="AE2569" t="str">
            <v>08 - VIGENCIA ANTERIOR</v>
          </cell>
          <cell r="AP2569">
            <v>1008952</v>
          </cell>
        </row>
        <row r="2570">
          <cell r="AE2570" t="str">
            <v>01 - RENOVADA</v>
          </cell>
          <cell r="AP2570">
            <v>1483227</v>
          </cell>
        </row>
        <row r="2571">
          <cell r="AE2571" t="str">
            <v>05 - ANULADA EN VIGENCIA</v>
          </cell>
          <cell r="AP2571">
            <v>47551</v>
          </cell>
        </row>
        <row r="2572">
          <cell r="AE2572" t="str">
            <v>08 - VIGENCIA ANTERIOR</v>
          </cell>
          <cell r="AP2572">
            <v>1064915</v>
          </cell>
        </row>
        <row r="2573">
          <cell r="AE2573" t="str">
            <v>08 - VIGENCIA ANTERIOR</v>
          </cell>
          <cell r="AP2573">
            <v>1266237</v>
          </cell>
        </row>
        <row r="2574">
          <cell r="AE2574" t="str">
            <v>01 - RENOVADA</v>
          </cell>
          <cell r="AP2574">
            <v>1538645</v>
          </cell>
        </row>
        <row r="2575">
          <cell r="AE2575" t="str">
            <v>05 - ANULADA EN VIGENCIA</v>
          </cell>
          <cell r="AP2575">
            <v>1039805</v>
          </cell>
        </row>
        <row r="2576">
          <cell r="AE2576" t="str">
            <v>05 - ANULADA EN VIGENCIA</v>
          </cell>
          <cell r="AP2576">
            <v>2006975620</v>
          </cell>
        </row>
        <row r="2577">
          <cell r="AE2577" t="str">
            <v>05 - ANULADA EN VIGENCIA</v>
          </cell>
          <cell r="AP2577">
            <v>1234110</v>
          </cell>
        </row>
        <row r="2578">
          <cell r="AE2578" t="str">
            <v>01 - RENOVADA</v>
          </cell>
          <cell r="AP2578">
            <v>2009241407</v>
          </cell>
        </row>
        <row r="2579">
          <cell r="AE2579" t="str">
            <v>05 - ANULADA EN VIGENCIA</v>
          </cell>
          <cell r="AP2579">
            <v>51110</v>
          </cell>
        </row>
        <row r="2580">
          <cell r="AE2580" t="str">
            <v>05 - ANULADA EN VIGENCIA</v>
          </cell>
          <cell r="AP2580">
            <v>2004675914</v>
          </cell>
        </row>
        <row r="2581">
          <cell r="AE2581" t="str">
            <v>05 - ANULADA EN VIGENCIA</v>
          </cell>
          <cell r="AP2581">
            <v>2008501292</v>
          </cell>
        </row>
        <row r="2582">
          <cell r="AE2582" t="str">
            <v>05 - ANULADA EN VIGENCIA</v>
          </cell>
          <cell r="AP2582">
            <v>1011501</v>
          </cell>
        </row>
        <row r="2583">
          <cell r="AE2583" t="str">
            <v>05 - ANULADA EN VIGENCIA</v>
          </cell>
          <cell r="AP2583">
            <v>1030610</v>
          </cell>
        </row>
        <row r="2584">
          <cell r="AE2584" t="str">
            <v>05 - ANULADA EN VIGENCIA</v>
          </cell>
          <cell r="AP2584">
            <v>1506598</v>
          </cell>
        </row>
        <row r="2585">
          <cell r="AE2585" t="str">
            <v>01 - RENOVADA</v>
          </cell>
          <cell r="AP2585">
            <v>51354</v>
          </cell>
        </row>
        <row r="2586">
          <cell r="AE2586" t="str">
            <v>01 - RENOVADA</v>
          </cell>
          <cell r="AP2586">
            <v>1443523</v>
          </cell>
        </row>
        <row r="2587">
          <cell r="AE2587" t="str">
            <v>04 - NO RENOVADA</v>
          </cell>
          <cell r="AP2587">
            <v>1092060</v>
          </cell>
        </row>
        <row r="2588">
          <cell r="AE2588" t="str">
            <v>04 - NO RENOVADA</v>
          </cell>
          <cell r="AP2588">
            <v>2004434909</v>
          </cell>
        </row>
        <row r="2589">
          <cell r="AE2589" t="str">
            <v>04 - NO RENOVADA</v>
          </cell>
          <cell r="AP2589">
            <v>2006581073</v>
          </cell>
        </row>
        <row r="2590">
          <cell r="AE2590" t="str">
            <v>05 - ANULADA EN VIGENCIA</v>
          </cell>
          <cell r="AP2590">
            <v>2011700803</v>
          </cell>
        </row>
        <row r="2591">
          <cell r="AE2591" t="str">
            <v>05 - ANULADA EN VIGENCIA</v>
          </cell>
          <cell r="AP2591">
            <v>34169</v>
          </cell>
        </row>
        <row r="2592">
          <cell r="AE2592" t="str">
            <v>01 - RENOVADA</v>
          </cell>
          <cell r="AP2592">
            <v>1491887</v>
          </cell>
        </row>
        <row r="2593">
          <cell r="AE2593" t="str">
            <v>04 - NO RENOVADA</v>
          </cell>
          <cell r="AP2593">
            <v>2004983911</v>
          </cell>
        </row>
        <row r="2594">
          <cell r="AE2594" t="str">
            <v>08 - VIGENCIA ANTERIOR</v>
          </cell>
          <cell r="AP2594">
            <v>1053718</v>
          </cell>
        </row>
        <row r="2595">
          <cell r="AE2595" t="str">
            <v>05 - ANULADA EN VIGENCIA</v>
          </cell>
          <cell r="AP2595">
            <v>1260595</v>
          </cell>
        </row>
        <row r="2596">
          <cell r="AE2596" t="str">
            <v>08 - VIGENCIA ANTERIOR</v>
          </cell>
          <cell r="AP2596">
            <v>2007343949</v>
          </cell>
        </row>
        <row r="2597">
          <cell r="AE2597" t="str">
            <v>01 - RENOVADA</v>
          </cell>
          <cell r="AP2597">
            <v>2008791360</v>
          </cell>
        </row>
        <row r="2598">
          <cell r="AE2598" t="str">
            <v>04 - NO RENOVADA</v>
          </cell>
          <cell r="AP2598">
            <v>2006227254</v>
          </cell>
        </row>
        <row r="2599">
          <cell r="AE2599" t="str">
            <v>04 - NO RENOVADA</v>
          </cell>
          <cell r="AP2599">
            <v>18592687</v>
          </cell>
        </row>
        <row r="2600">
          <cell r="AE2600" t="str">
            <v>01 - RENOVADA</v>
          </cell>
          <cell r="AP2600">
            <v>16436031</v>
          </cell>
        </row>
        <row r="2601">
          <cell r="AE2601" t="str">
            <v>01 - RENOVADA</v>
          </cell>
          <cell r="AP2601">
            <v>9653685</v>
          </cell>
        </row>
        <row r="2602">
          <cell r="AE2602" t="str">
            <v>05 - ANULADA EN VIGENCIA</v>
          </cell>
          <cell r="AP2602">
            <v>57847</v>
          </cell>
        </row>
        <row r="2603">
          <cell r="AE2603" t="str">
            <v>05 - ANULADA EN VIGENCIA</v>
          </cell>
          <cell r="AP2603">
            <v>905983</v>
          </cell>
        </row>
        <row r="2604">
          <cell r="AE2604" t="str">
            <v>05 - ANULADA EN VIGENCIA</v>
          </cell>
          <cell r="AP2604">
            <v>1096686</v>
          </cell>
        </row>
        <row r="2605">
          <cell r="AE2605" t="str">
            <v>05 - ANULADA EN VIGENCIA</v>
          </cell>
          <cell r="AP2605">
            <v>1300031</v>
          </cell>
        </row>
        <row r="2606">
          <cell r="AE2606" t="str">
            <v>01 - RENOVADA</v>
          </cell>
          <cell r="AP2606">
            <v>70243196</v>
          </cell>
        </row>
        <row r="2607">
          <cell r="AE2607" t="str">
            <v>01 - RENOVADA</v>
          </cell>
          <cell r="AP2607">
            <v>456784</v>
          </cell>
        </row>
        <row r="2608">
          <cell r="AE2608" t="str">
            <v>05 - ANULADA EN VIGENCIA</v>
          </cell>
          <cell r="AP2608">
            <v>2003760871</v>
          </cell>
        </row>
        <row r="2609">
          <cell r="AE2609" t="str">
            <v>05 - ANULADA EN VIGENCIA</v>
          </cell>
          <cell r="AP2609">
            <v>2006621709</v>
          </cell>
        </row>
        <row r="2610">
          <cell r="AE2610" t="str">
            <v>08 - VIGENCIA ANTERIOR</v>
          </cell>
          <cell r="AP2610">
            <v>1084197</v>
          </cell>
        </row>
        <row r="2611">
          <cell r="AE2611" t="str">
            <v>08 - VIGENCIA ANTERIOR</v>
          </cell>
          <cell r="AP2611">
            <v>1290596</v>
          </cell>
        </row>
        <row r="2612">
          <cell r="AE2612" t="str">
            <v>01 - RENOVADA</v>
          </cell>
          <cell r="AP2612">
            <v>1574721</v>
          </cell>
        </row>
        <row r="2613">
          <cell r="AE2613" t="str">
            <v>05 - ANULADA EN VIGENCIA</v>
          </cell>
          <cell r="AP2613">
            <v>855568</v>
          </cell>
        </row>
        <row r="2614">
          <cell r="AE2614" t="str">
            <v>05 - ANULADA EN VIGENCIA</v>
          </cell>
          <cell r="AP2614">
            <v>1059996</v>
          </cell>
        </row>
        <row r="2615">
          <cell r="AE2615" t="str">
            <v>05 - ANULADA EN VIGENCIA</v>
          </cell>
          <cell r="AP2615">
            <v>1269719</v>
          </cell>
        </row>
        <row r="2616">
          <cell r="AE2616" t="str">
            <v>05 - ANULADA EN VIGENCIA</v>
          </cell>
          <cell r="AP2616">
            <v>795336</v>
          </cell>
        </row>
        <row r="2617">
          <cell r="AE2617" t="str">
            <v>05 - ANULADA EN VIGENCIA</v>
          </cell>
          <cell r="AP2617">
            <v>529434</v>
          </cell>
        </row>
        <row r="2618">
          <cell r="AE2618" t="str">
            <v>05 - ANULADA EN VIGENCIA</v>
          </cell>
          <cell r="AP2618">
            <v>1101339</v>
          </cell>
        </row>
        <row r="2619">
          <cell r="AE2619" t="str">
            <v>05 - ANULADA EN VIGENCIA</v>
          </cell>
          <cell r="AP2619">
            <v>1096685</v>
          </cell>
        </row>
        <row r="2620">
          <cell r="AE2620" t="str">
            <v>01 - RENOVADA</v>
          </cell>
          <cell r="AP2620">
            <v>70197892</v>
          </cell>
        </row>
        <row r="2621">
          <cell r="AE2621" t="str">
            <v>04 - NO RENOVADA</v>
          </cell>
          <cell r="AP2621">
            <v>2006940446</v>
          </cell>
        </row>
        <row r="2622">
          <cell r="AE2622" t="str">
            <v>01 - RENOVADA</v>
          </cell>
          <cell r="AP2622">
            <v>2009911907</v>
          </cell>
        </row>
        <row r="2623">
          <cell r="AE2623" t="str">
            <v>01 - RENOVADA</v>
          </cell>
          <cell r="AP2623">
            <v>15640003</v>
          </cell>
        </row>
        <row r="2624">
          <cell r="AE2624" t="str">
            <v>04 - NO RENOVADA</v>
          </cell>
          <cell r="AP2624">
            <v>70118293</v>
          </cell>
        </row>
        <row r="2625">
          <cell r="AE2625" t="str">
            <v>05 - ANULADA EN VIGENCIA</v>
          </cell>
          <cell r="AP2625">
            <v>2000361799</v>
          </cell>
        </row>
        <row r="2626">
          <cell r="AE2626" t="str">
            <v>01 - RENOVADA</v>
          </cell>
          <cell r="AP2626">
            <v>2011515034</v>
          </cell>
        </row>
        <row r="2627">
          <cell r="AE2627" t="str">
            <v>05 - ANULADA EN VIGENCIA</v>
          </cell>
          <cell r="AP2627">
            <v>78220</v>
          </cell>
        </row>
        <row r="2628">
          <cell r="AE2628" t="str">
            <v>05 - ANULADA EN VIGENCIA</v>
          </cell>
          <cell r="AP2628">
            <v>220024947</v>
          </cell>
        </row>
        <row r="2629">
          <cell r="AE2629" t="str">
            <v>08 - VIGENCIA ANTERIOR</v>
          </cell>
          <cell r="AP2629">
            <v>1055741</v>
          </cell>
        </row>
        <row r="2630">
          <cell r="AE2630" t="str">
            <v>08 - VIGENCIA ANTERIOR</v>
          </cell>
          <cell r="AP2630">
            <v>1260303</v>
          </cell>
        </row>
        <row r="2631">
          <cell r="AE2631" t="str">
            <v>08 - VIGENCIA ANTERIOR</v>
          </cell>
          <cell r="AP2631">
            <v>1263888</v>
          </cell>
        </row>
        <row r="2632">
          <cell r="AE2632" t="str">
            <v>05 - ANULADA EN VIGENCIA</v>
          </cell>
          <cell r="AP2632">
            <v>1430959</v>
          </cell>
        </row>
        <row r="2633">
          <cell r="AE2633" t="str">
            <v>08 - VIGENCIA ANTERIOR</v>
          </cell>
          <cell r="AP2633">
            <v>2006488935</v>
          </cell>
        </row>
        <row r="2634">
          <cell r="AE2634" t="str">
            <v>01 - RENOVADA</v>
          </cell>
          <cell r="AP2634">
            <v>2009004551</v>
          </cell>
        </row>
        <row r="2635">
          <cell r="AE2635" t="str">
            <v>03 - PENDIENTE</v>
          </cell>
          <cell r="AP2635">
            <v>9417509</v>
          </cell>
        </row>
        <row r="2636">
          <cell r="AE2636" t="str">
            <v>05 - ANULADA EN VIGENCIA</v>
          </cell>
          <cell r="AP2636">
            <v>2006883780</v>
          </cell>
        </row>
        <row r="2637">
          <cell r="AE2637" t="str">
            <v>05 - ANULADA EN VIGENCIA</v>
          </cell>
          <cell r="AP2637">
            <v>16857921</v>
          </cell>
        </row>
        <row r="2638">
          <cell r="AE2638" t="str">
            <v>08 - VIGENCIA ANTERIOR</v>
          </cell>
          <cell r="AP2638">
            <v>1010936</v>
          </cell>
        </row>
        <row r="2639">
          <cell r="AE2639" t="str">
            <v>08 - VIGENCIA ANTERIOR</v>
          </cell>
          <cell r="AP2639">
            <v>1117743</v>
          </cell>
        </row>
        <row r="2640">
          <cell r="AE2640" t="str">
            <v>01 - RENOVADA</v>
          </cell>
          <cell r="AP2640">
            <v>1483692</v>
          </cell>
        </row>
        <row r="2641">
          <cell r="AE2641" t="str">
            <v>04 - NO RENOVADA</v>
          </cell>
          <cell r="AP2641">
            <v>1110011</v>
          </cell>
        </row>
        <row r="2642">
          <cell r="AE2642" t="str">
            <v>01 - RENOVADA</v>
          </cell>
          <cell r="AP2642">
            <v>2010802784</v>
          </cell>
        </row>
        <row r="2643">
          <cell r="AE2643" t="str">
            <v>03 - PENDIENTE</v>
          </cell>
          <cell r="AP2643">
            <v>93584</v>
          </cell>
        </row>
        <row r="2644">
          <cell r="AE2644" t="str">
            <v>05 - ANULADA EN VIGENCIA</v>
          </cell>
          <cell r="AP2644">
            <v>2009390750</v>
          </cell>
        </row>
        <row r="2645">
          <cell r="AE2645" t="str">
            <v>01 - RENOVADA</v>
          </cell>
          <cell r="AP2645">
            <v>2011327243</v>
          </cell>
        </row>
        <row r="2646">
          <cell r="AE2646" t="str">
            <v>01 - RENOVADA</v>
          </cell>
          <cell r="AP2646">
            <v>10047738</v>
          </cell>
        </row>
        <row r="2647">
          <cell r="AE2647" t="str">
            <v>04 - NO RENOVADA</v>
          </cell>
          <cell r="AP2647">
            <v>6832553</v>
          </cell>
        </row>
        <row r="2648">
          <cell r="AE2648" t="str">
            <v>04 - NO RENOVADA</v>
          </cell>
          <cell r="AP2648">
            <v>7078192</v>
          </cell>
        </row>
        <row r="2649">
          <cell r="AE2649" t="str">
            <v>05 - ANULADA EN VIGENCIA</v>
          </cell>
          <cell r="AP2649">
            <v>15415560</v>
          </cell>
        </row>
        <row r="2650">
          <cell r="AE2650" t="str">
            <v>04 - NO RENOVADA</v>
          </cell>
          <cell r="AP2650">
            <v>9198647</v>
          </cell>
        </row>
        <row r="2651">
          <cell r="AE2651" t="str">
            <v>05 - ANULADA EN VIGENCIA</v>
          </cell>
          <cell r="AP2651">
            <v>85184</v>
          </cell>
        </row>
        <row r="2652">
          <cell r="AE2652" t="str">
            <v>01 - RENOVADA</v>
          </cell>
          <cell r="AP2652">
            <v>2008557118</v>
          </cell>
        </row>
        <row r="2653">
          <cell r="AE2653" t="str">
            <v>08 - VIGENCIA ANTERIOR</v>
          </cell>
          <cell r="AP2653">
            <v>1039133</v>
          </cell>
        </row>
        <row r="2654">
          <cell r="AE2654" t="str">
            <v>01 - RENOVADA</v>
          </cell>
          <cell r="AP2654">
            <v>1517676</v>
          </cell>
        </row>
        <row r="2655">
          <cell r="AE2655" t="str">
            <v>01 - RENOVADA</v>
          </cell>
          <cell r="AP2655">
            <v>1497425</v>
          </cell>
        </row>
        <row r="2656">
          <cell r="AE2656" t="str">
            <v>05 - ANULADA EN VIGENCIA</v>
          </cell>
          <cell r="AP2656">
            <v>1232185</v>
          </cell>
        </row>
        <row r="2657">
          <cell r="AE2657" t="str">
            <v>04 - NO RENOVADA</v>
          </cell>
          <cell r="AP2657">
            <v>16325225</v>
          </cell>
        </row>
        <row r="2658">
          <cell r="AE2658" t="str">
            <v>03 - PENDIENTE</v>
          </cell>
          <cell r="AP2658">
            <v>37717</v>
          </cell>
        </row>
        <row r="2659">
          <cell r="AE2659" t="str">
            <v>01 - RENOVADA</v>
          </cell>
          <cell r="AP2659">
            <v>2009823724</v>
          </cell>
        </row>
        <row r="2660">
          <cell r="AE2660" t="str">
            <v>04 - NO RENOVADA</v>
          </cell>
          <cell r="AP2660">
            <v>991379</v>
          </cell>
        </row>
        <row r="2661">
          <cell r="AE2661" t="str">
            <v>08 - VIGENCIA ANTERIOR</v>
          </cell>
          <cell r="AP2661">
            <v>1063598</v>
          </cell>
        </row>
        <row r="2662">
          <cell r="AE2662" t="str">
            <v>04 - NO RENOVADA</v>
          </cell>
          <cell r="AP2662">
            <v>1276109</v>
          </cell>
        </row>
        <row r="2663">
          <cell r="AE2663" t="str">
            <v>04 - NO RENOVADA</v>
          </cell>
          <cell r="AP2663">
            <v>2007444182</v>
          </cell>
        </row>
        <row r="2664">
          <cell r="AE2664" t="str">
            <v>01 - RENOVADA</v>
          </cell>
          <cell r="AP2664">
            <v>1547983</v>
          </cell>
        </row>
        <row r="2665">
          <cell r="AE2665" t="str">
            <v>08 - VIGENCIA ANTERIOR</v>
          </cell>
          <cell r="AP2665">
            <v>1093850</v>
          </cell>
        </row>
        <row r="2666">
          <cell r="AE2666" t="str">
            <v>08 - VIGENCIA ANTERIOR</v>
          </cell>
          <cell r="AP2666">
            <v>1297012</v>
          </cell>
        </row>
        <row r="2667">
          <cell r="AE2667" t="str">
            <v>03 - PENDIENTE</v>
          </cell>
          <cell r="AP2667">
            <v>1469534</v>
          </cell>
        </row>
        <row r="2668">
          <cell r="AE2668" t="str">
            <v>04 - NO RENOVADA</v>
          </cell>
          <cell r="AP2668">
            <v>121541</v>
          </cell>
        </row>
        <row r="2669">
          <cell r="AE2669" t="str">
            <v>05 - ANULADA EN VIGENCIA</v>
          </cell>
          <cell r="AP2669">
            <v>1018562</v>
          </cell>
        </row>
        <row r="2670">
          <cell r="AE2670" t="str">
            <v>05 - ANULADA EN VIGENCIA</v>
          </cell>
          <cell r="AP2670">
            <v>1115738</v>
          </cell>
        </row>
        <row r="2671">
          <cell r="AE2671" t="str">
            <v>08 - VIGENCIA ANTERIOR</v>
          </cell>
          <cell r="AP2671">
            <v>997340</v>
          </cell>
        </row>
        <row r="2672">
          <cell r="AE2672" t="str">
            <v>05 - ANULADA EN VIGENCIA</v>
          </cell>
          <cell r="AP2672">
            <v>1402733</v>
          </cell>
        </row>
        <row r="2673">
          <cell r="AE2673" t="str">
            <v>08 - VIGENCIA ANTERIOR</v>
          </cell>
          <cell r="AP2673">
            <v>31580</v>
          </cell>
        </row>
        <row r="2674">
          <cell r="AE2674" t="str">
            <v>01 - RENOVADA</v>
          </cell>
          <cell r="AP2674">
            <v>100453822</v>
          </cell>
        </row>
        <row r="2675">
          <cell r="AE2675" t="str">
            <v>05 - ANULADA EN VIGENCIA</v>
          </cell>
          <cell r="AP2675">
            <v>2006644867</v>
          </cell>
        </row>
        <row r="2676">
          <cell r="AE2676" t="str">
            <v>01 - RENOVADA</v>
          </cell>
          <cell r="AP2676">
            <v>86533</v>
          </cell>
        </row>
        <row r="2677">
          <cell r="AE2677" t="str">
            <v>04 - NO RENOVADA</v>
          </cell>
          <cell r="AP2677">
            <v>1038592</v>
          </cell>
        </row>
        <row r="2678">
          <cell r="AE2678" t="str">
            <v>05 - ANULADA EN VIGENCIA</v>
          </cell>
          <cell r="AP2678">
            <v>1251515</v>
          </cell>
        </row>
        <row r="2679">
          <cell r="AE2679" t="str">
            <v>05 - ANULADA EN VIGENCIA</v>
          </cell>
          <cell r="AP2679">
            <v>1341965</v>
          </cell>
        </row>
        <row r="2680">
          <cell r="AE2680" t="str">
            <v>05 - ANULADA EN VIGENCIA</v>
          </cell>
          <cell r="AP2680">
            <v>1341965</v>
          </cell>
        </row>
        <row r="2681">
          <cell r="AE2681" t="str">
            <v>03 - PENDIENTE</v>
          </cell>
          <cell r="AP2681">
            <v>1391901</v>
          </cell>
        </row>
        <row r="2682">
          <cell r="AE2682" t="str">
            <v>04 - NO RENOVADA</v>
          </cell>
          <cell r="AP2682">
            <v>70153707</v>
          </cell>
        </row>
        <row r="2683">
          <cell r="AE2683" t="str">
            <v>03 - PENDIENTE</v>
          </cell>
          <cell r="AP2683" t="str">
            <v>TE-000622-0</v>
          </cell>
        </row>
        <row r="2684">
          <cell r="AE2684" t="str">
            <v>01 - RENOVADA</v>
          </cell>
          <cell r="AP2684">
            <v>20600542</v>
          </cell>
        </row>
        <row r="2685">
          <cell r="AE2685" t="str">
            <v>03 - PENDIENTE</v>
          </cell>
          <cell r="AP2685">
            <v>2011700930</v>
          </cell>
        </row>
        <row r="2686">
          <cell r="AE2686" t="str">
            <v>05 - ANULADA EN VIGENCIA</v>
          </cell>
          <cell r="AP2686" t="str">
            <v>E0027645</v>
          </cell>
        </row>
        <row r="2687">
          <cell r="AE2687" t="str">
            <v>05 - ANULADA EN VIGENCIA</v>
          </cell>
          <cell r="AP2687">
            <v>70908</v>
          </cell>
        </row>
        <row r="2688">
          <cell r="AE2688" t="str">
            <v>08 - VIGENCIA ANTERIOR</v>
          </cell>
          <cell r="AP2688">
            <v>1087919</v>
          </cell>
        </row>
        <row r="2689">
          <cell r="AE2689" t="str">
            <v>08 - VIGENCIA ANTERIOR</v>
          </cell>
          <cell r="AP2689">
            <v>1294200</v>
          </cell>
        </row>
        <row r="2690">
          <cell r="AE2690" t="str">
            <v>01 - RENOVADA</v>
          </cell>
          <cell r="AP2690">
            <v>1573574</v>
          </cell>
        </row>
        <row r="2691">
          <cell r="AE2691" t="str">
            <v>05 - ANULADA EN VIGENCIA</v>
          </cell>
          <cell r="AP2691">
            <v>44288</v>
          </cell>
        </row>
        <row r="2692">
          <cell r="AE2692" t="str">
            <v>01 - RENOVADA</v>
          </cell>
          <cell r="AP2692">
            <v>1409213</v>
          </cell>
        </row>
        <row r="2693">
          <cell r="AE2693" t="str">
            <v>05 - ANULADA EN VIGENCIA</v>
          </cell>
          <cell r="AP2693">
            <v>2009408339</v>
          </cell>
        </row>
        <row r="2694">
          <cell r="AE2694" t="str">
            <v>05 - ANULADA EN VIGENCIA</v>
          </cell>
          <cell r="AP2694">
            <v>1059995</v>
          </cell>
        </row>
        <row r="2695">
          <cell r="AE2695" t="str">
            <v>05 - ANULADA EN VIGENCIA</v>
          </cell>
          <cell r="AP2695">
            <v>1269451</v>
          </cell>
        </row>
        <row r="2696">
          <cell r="AE2696" t="str">
            <v>05 - ANULADA EN VIGENCIA</v>
          </cell>
          <cell r="AP2696">
            <v>1363994</v>
          </cell>
        </row>
        <row r="2697">
          <cell r="AE2697" t="str">
            <v>05 - ANULADA EN VIGENCIA</v>
          </cell>
          <cell r="AP2697">
            <v>16583653</v>
          </cell>
        </row>
        <row r="2698">
          <cell r="AE2698" t="str">
            <v>08 - VIGENCIA ANTERIOR</v>
          </cell>
          <cell r="AP2698">
            <v>2006709590</v>
          </cell>
        </row>
        <row r="2699">
          <cell r="AE2699" t="str">
            <v>04 - NO RENOVADA</v>
          </cell>
          <cell r="AP2699">
            <v>2009470379</v>
          </cell>
        </row>
        <row r="2700">
          <cell r="AE2700" t="str">
            <v>04 - NO RENOVADA</v>
          </cell>
          <cell r="AP2700">
            <v>2006317603</v>
          </cell>
        </row>
        <row r="2701">
          <cell r="AE2701" t="str">
            <v>04 - NO RENOVADA</v>
          </cell>
          <cell r="AP2701">
            <v>819899</v>
          </cell>
        </row>
        <row r="2702">
          <cell r="AE2702" t="str">
            <v>01 - RENOVADA</v>
          </cell>
          <cell r="AP2702">
            <v>2010774211</v>
          </cell>
        </row>
        <row r="2703">
          <cell r="AE2703" t="str">
            <v>05 - ANULADA EN VIGENCIA</v>
          </cell>
          <cell r="AP2703">
            <v>1114374</v>
          </cell>
        </row>
        <row r="2704">
          <cell r="AE2704" t="str">
            <v>05 - ANULADA EN VIGENCIA</v>
          </cell>
          <cell r="AP2704">
            <v>7722328</v>
          </cell>
        </row>
        <row r="2705">
          <cell r="AE2705" t="str">
            <v>05 - ANULADA EN VIGENCIA</v>
          </cell>
          <cell r="AP2705">
            <v>1241178</v>
          </cell>
        </row>
        <row r="2706">
          <cell r="AE2706" t="str">
            <v>05 - ANULADA EN VIGENCIA</v>
          </cell>
          <cell r="AP2706">
            <v>865959</v>
          </cell>
        </row>
        <row r="2707">
          <cell r="AE2707" t="str">
            <v>01 - RENOVADA</v>
          </cell>
          <cell r="AP2707">
            <v>2009010083</v>
          </cell>
        </row>
        <row r="2708">
          <cell r="AE2708" t="str">
            <v>05 - ANULADA EN VIGENCIA</v>
          </cell>
          <cell r="AP2708">
            <v>15748</v>
          </cell>
        </row>
        <row r="2709">
          <cell r="AE2709" t="str">
            <v>05 - ANULADA EN VIGENCIA</v>
          </cell>
          <cell r="AP2709">
            <v>35521</v>
          </cell>
        </row>
        <row r="2710">
          <cell r="AE2710" t="str">
            <v>05 - ANULADA EN VIGENCIA</v>
          </cell>
          <cell r="AP2710">
            <v>16692912</v>
          </cell>
        </row>
        <row r="2711">
          <cell r="AE2711" t="str">
            <v>04 - NO RENOVADA</v>
          </cell>
          <cell r="AP2711">
            <v>47543</v>
          </cell>
        </row>
        <row r="2712">
          <cell r="AE2712" t="str">
            <v>01 - RENOVADA</v>
          </cell>
          <cell r="AP2712">
            <v>25652</v>
          </cell>
        </row>
        <row r="2713">
          <cell r="AE2713" t="str">
            <v>05 - ANULADA EN VIGENCIA</v>
          </cell>
          <cell r="AP2713">
            <v>77655</v>
          </cell>
        </row>
        <row r="2714">
          <cell r="AE2714" t="str">
            <v>05 - ANULADA EN VIGENCIA</v>
          </cell>
          <cell r="AP2714">
            <v>62556</v>
          </cell>
        </row>
        <row r="2715">
          <cell r="AE2715" t="str">
            <v>01 - RENOVADA</v>
          </cell>
          <cell r="AP2715">
            <v>1483220</v>
          </cell>
        </row>
        <row r="2716">
          <cell r="AE2716" t="str">
            <v>05 - ANULADA EN VIGENCIA</v>
          </cell>
          <cell r="AP2716">
            <v>5126</v>
          </cell>
        </row>
        <row r="2717">
          <cell r="AE2717" t="str">
            <v>01 - RENOVADA</v>
          </cell>
          <cell r="AP2717">
            <v>1037472</v>
          </cell>
        </row>
        <row r="2718">
          <cell r="AE2718" t="str">
            <v>05 - ANULADA EN VIGENCIA</v>
          </cell>
          <cell r="AP2718">
            <v>128645495</v>
          </cell>
        </row>
        <row r="2719">
          <cell r="AE2719" t="str">
            <v>05 - ANULADA EN VIGENCIA</v>
          </cell>
          <cell r="AP2719">
            <v>47325</v>
          </cell>
        </row>
        <row r="2720">
          <cell r="AE2720" t="str">
            <v>01 - RENOVADA</v>
          </cell>
          <cell r="AP2720">
            <v>1162010400598</v>
          </cell>
        </row>
        <row r="2721">
          <cell r="AE2721" t="str">
            <v>04 - NO RENOVADA</v>
          </cell>
          <cell r="AP2721">
            <v>16579176</v>
          </cell>
        </row>
        <row r="2722">
          <cell r="AE2722" t="str">
            <v>05 - ANULADA EN VIGENCIA</v>
          </cell>
          <cell r="AP2722">
            <v>2009902100</v>
          </cell>
        </row>
        <row r="2723">
          <cell r="AE2723" t="str">
            <v>01 - RENOVADA</v>
          </cell>
          <cell r="AP2723">
            <v>2005696662</v>
          </cell>
        </row>
        <row r="2724">
          <cell r="AE2724" t="str">
            <v>05 - ANULADA EN VIGENCIA</v>
          </cell>
          <cell r="AP2724">
            <v>70207344</v>
          </cell>
        </row>
        <row r="2725">
          <cell r="AE2725" t="str">
            <v>04 - NO RENOVADA</v>
          </cell>
          <cell r="AP2725">
            <v>9239838</v>
          </cell>
        </row>
        <row r="2726">
          <cell r="AE2726" t="str">
            <v>04 - NO RENOVADA</v>
          </cell>
          <cell r="AP2726">
            <v>9239839</v>
          </cell>
        </row>
        <row r="2727">
          <cell r="AE2727" t="str">
            <v>04 - NO RENOVADA</v>
          </cell>
          <cell r="AP2727">
            <v>70169898</v>
          </cell>
        </row>
        <row r="2728">
          <cell r="AE2728" t="str">
            <v>01 - RENOVADA</v>
          </cell>
          <cell r="AP2728">
            <v>510979726405</v>
          </cell>
        </row>
        <row r="2729">
          <cell r="AE2729" t="str">
            <v>04 - NO RENOVADA</v>
          </cell>
          <cell r="AP2729">
            <v>904173</v>
          </cell>
        </row>
        <row r="2730">
          <cell r="AE2730" t="str">
            <v>05 - ANULADA EN VIGENCIA</v>
          </cell>
          <cell r="AP2730">
            <v>46498</v>
          </cell>
        </row>
        <row r="2731">
          <cell r="AE2731" t="str">
            <v>05 - ANULADA EN VIGENCIA</v>
          </cell>
          <cell r="AP2731">
            <v>980455</v>
          </cell>
        </row>
        <row r="2732">
          <cell r="AE2732" t="str">
            <v>05 - ANULADA EN VIGENCIA</v>
          </cell>
          <cell r="AP2732">
            <v>1087921</v>
          </cell>
        </row>
        <row r="2733">
          <cell r="AE2733" t="str">
            <v>03 - PENDIENTE</v>
          </cell>
          <cell r="AP2733">
            <v>2009000322</v>
          </cell>
        </row>
        <row r="2734">
          <cell r="AE2734" t="str">
            <v>01 - RENOVADA</v>
          </cell>
          <cell r="AP2734">
            <v>9588565</v>
          </cell>
        </row>
        <row r="2735">
          <cell r="AE2735" t="str">
            <v>05 - ANULADA EN VIGENCIA</v>
          </cell>
          <cell r="AP2735">
            <v>2007020944</v>
          </cell>
        </row>
        <row r="2736">
          <cell r="AE2736" t="str">
            <v>01 - RENOVADA</v>
          </cell>
          <cell r="AP2736">
            <v>1433287</v>
          </cell>
        </row>
        <row r="2737">
          <cell r="AE2737" t="str">
            <v>05 - ANULADA EN VIGENCIA</v>
          </cell>
          <cell r="AP2737">
            <v>2006915046</v>
          </cell>
        </row>
        <row r="2738">
          <cell r="AE2738" t="str">
            <v>05 - ANULADA EN VIGENCIA</v>
          </cell>
          <cell r="AP2738">
            <v>6035</v>
          </cell>
        </row>
        <row r="2739">
          <cell r="AE2739" t="str">
            <v>01 - RENOVADA</v>
          </cell>
          <cell r="AP2739">
            <v>18096967</v>
          </cell>
        </row>
        <row r="2740">
          <cell r="AE2740" t="str">
            <v>05 - ANULADA EN VIGENCIA</v>
          </cell>
          <cell r="AP2740">
            <v>17038509</v>
          </cell>
        </row>
        <row r="2741">
          <cell r="AE2741" t="str">
            <v>01 - RENOVADA</v>
          </cell>
          <cell r="AP2741">
            <v>2010733911</v>
          </cell>
        </row>
        <row r="2742">
          <cell r="AE2742" t="str">
            <v>05 - ANULADA EN VIGENCIA</v>
          </cell>
          <cell r="AP2742">
            <v>63617</v>
          </cell>
        </row>
        <row r="2743">
          <cell r="AE2743" t="str">
            <v>04 - NO RENOVADA</v>
          </cell>
          <cell r="AP2743">
            <v>8230200</v>
          </cell>
        </row>
        <row r="2744">
          <cell r="AE2744" t="str">
            <v>05 - ANULADA EN VIGENCIA</v>
          </cell>
          <cell r="AP2744">
            <v>91156</v>
          </cell>
        </row>
        <row r="2745">
          <cell r="AE2745" t="str">
            <v>01 - RENOVADA</v>
          </cell>
          <cell r="AP2745">
            <v>2009751578</v>
          </cell>
        </row>
        <row r="2746">
          <cell r="AE2746" t="str">
            <v>01 - RENOVADA</v>
          </cell>
          <cell r="AP2746">
            <v>8855</v>
          </cell>
        </row>
        <row r="2747">
          <cell r="AE2747" t="str">
            <v>05 - ANULADA EN VIGENCIA</v>
          </cell>
          <cell r="AP2747">
            <v>926206</v>
          </cell>
        </row>
        <row r="2748">
          <cell r="AE2748" t="str">
            <v>05 - ANULADA EN VIGENCIA</v>
          </cell>
          <cell r="AP2748">
            <v>1027871</v>
          </cell>
        </row>
        <row r="2749">
          <cell r="AE2749" t="str">
            <v>05 - ANULADA EN VIGENCIA</v>
          </cell>
          <cell r="AP2749">
            <v>1028736</v>
          </cell>
        </row>
        <row r="2750">
          <cell r="AE2750" t="str">
            <v>05 - ANULADA EN VIGENCIA</v>
          </cell>
          <cell r="AP2750">
            <v>1019815</v>
          </cell>
        </row>
        <row r="2751">
          <cell r="AE2751" t="str">
            <v>05 - ANULADA EN VIGENCIA</v>
          </cell>
          <cell r="AP2751">
            <v>1232551</v>
          </cell>
        </row>
        <row r="2752">
          <cell r="AE2752" t="str">
            <v>05 - ANULADA EN VIGENCIA</v>
          </cell>
          <cell r="AP2752">
            <v>951830</v>
          </cell>
        </row>
        <row r="2753">
          <cell r="AE2753" t="str">
            <v>05 - ANULADA EN VIGENCIA</v>
          </cell>
          <cell r="AP2753">
            <v>1087810</v>
          </cell>
        </row>
        <row r="2754">
          <cell r="AE2754" t="str">
            <v>05 - ANULADA EN VIGENCIA</v>
          </cell>
          <cell r="AP2754">
            <v>2007639571</v>
          </cell>
        </row>
        <row r="2755">
          <cell r="AE2755" t="str">
            <v>01 - RENOVADA</v>
          </cell>
          <cell r="AP2755">
            <v>17077464</v>
          </cell>
        </row>
        <row r="2756">
          <cell r="AE2756" t="str">
            <v>08 - VIGENCIA ANTERIOR</v>
          </cell>
          <cell r="AP2756">
            <v>1003349</v>
          </cell>
        </row>
        <row r="2757">
          <cell r="AE2757" t="str">
            <v>01 - RENOVADA</v>
          </cell>
          <cell r="AP2757">
            <v>1506952</v>
          </cell>
        </row>
        <row r="2758">
          <cell r="AE2758" t="str">
            <v>05 - ANULADA EN VIGENCIA</v>
          </cell>
          <cell r="AP2758">
            <v>1509812</v>
          </cell>
        </row>
        <row r="2759">
          <cell r="AE2759" t="str">
            <v>05 - ANULADA EN VIGENCIA</v>
          </cell>
          <cell r="AP2759">
            <v>2006993071</v>
          </cell>
        </row>
        <row r="2760">
          <cell r="AE2760" t="str">
            <v>01 - RENOVADA</v>
          </cell>
          <cell r="AP2760">
            <v>64442</v>
          </cell>
        </row>
        <row r="2761">
          <cell r="AE2761" t="str">
            <v>04 - NO RENOVADA</v>
          </cell>
          <cell r="AP2761">
            <v>5109802594</v>
          </cell>
        </row>
        <row r="2762">
          <cell r="AE2762" t="str">
            <v>01 - RENOVADA</v>
          </cell>
          <cell r="AP2762">
            <v>2010768045</v>
          </cell>
        </row>
        <row r="2763">
          <cell r="AE2763" t="str">
            <v>05 - ANULADA EN VIGENCIA</v>
          </cell>
          <cell r="AP2763">
            <v>1162110100112</v>
          </cell>
        </row>
        <row r="2764">
          <cell r="AE2764" t="str">
            <v>01 - RENOVADA</v>
          </cell>
          <cell r="AP2764">
            <v>18505707</v>
          </cell>
        </row>
        <row r="2765">
          <cell r="AE2765" t="str">
            <v>05 - ANULADA EN VIGENCIA</v>
          </cell>
          <cell r="AP2765">
            <v>871910</v>
          </cell>
        </row>
        <row r="2766">
          <cell r="AE2766" t="str">
            <v>05 - ANULADA EN VIGENCIA</v>
          </cell>
          <cell r="AP2766">
            <v>36234</v>
          </cell>
        </row>
        <row r="2767">
          <cell r="AE2767" t="str">
            <v>05 - ANULADA EN VIGENCIA</v>
          </cell>
          <cell r="AP2767">
            <v>1244409</v>
          </cell>
        </row>
        <row r="2768">
          <cell r="AE2768" t="str">
            <v>08 - VIGENCIA ANTERIOR</v>
          </cell>
          <cell r="AP2768">
            <v>1059990</v>
          </cell>
        </row>
        <row r="2769">
          <cell r="AE2769" t="str">
            <v>08 - VIGENCIA ANTERIOR</v>
          </cell>
          <cell r="AP2769">
            <v>1270073</v>
          </cell>
        </row>
        <row r="2770">
          <cell r="AE2770" t="str">
            <v>01 - RENOVADA</v>
          </cell>
          <cell r="AP2770">
            <v>1538666</v>
          </cell>
        </row>
        <row r="2771">
          <cell r="AE2771" t="str">
            <v>04 - NO RENOVADA</v>
          </cell>
          <cell r="AP2771">
            <v>76466</v>
          </cell>
        </row>
        <row r="2772">
          <cell r="AE2772" t="str">
            <v>01 - RENOVADA</v>
          </cell>
          <cell r="AP2772">
            <v>4969</v>
          </cell>
        </row>
        <row r="2773">
          <cell r="AE2773" t="str">
            <v>01 - RENOVADA</v>
          </cell>
          <cell r="AP2773">
            <v>30507</v>
          </cell>
        </row>
        <row r="2774">
          <cell r="AE2774" t="str">
            <v>05 - ANULADA EN VIGENCIA</v>
          </cell>
          <cell r="AP2774">
            <v>2005007134</v>
          </cell>
        </row>
        <row r="2775">
          <cell r="AE2775" t="str">
            <v>04 - NO RENOVADA</v>
          </cell>
          <cell r="AP2775">
            <v>7679109</v>
          </cell>
        </row>
        <row r="2776">
          <cell r="AE2776" t="str">
            <v>05 - ANULADA EN VIGENCIA</v>
          </cell>
          <cell r="AP2776">
            <v>1032094</v>
          </cell>
        </row>
        <row r="2777">
          <cell r="AE2777" t="str">
            <v>08 - VIGENCIA ANTERIOR</v>
          </cell>
          <cell r="AP2777">
            <v>1234106</v>
          </cell>
        </row>
        <row r="2778">
          <cell r="AE2778" t="str">
            <v>05 - ANULADA EN VIGENCIA</v>
          </cell>
          <cell r="AP2778">
            <v>1353551</v>
          </cell>
        </row>
        <row r="2779">
          <cell r="AE2779" t="str">
            <v>03 - PENDIENTE</v>
          </cell>
          <cell r="AP2779">
            <v>91045468</v>
          </cell>
        </row>
        <row r="2780">
          <cell r="AE2780" t="str">
            <v>04 - NO RENOVADA</v>
          </cell>
          <cell r="AP2780">
            <v>612167940</v>
          </cell>
        </row>
        <row r="2781">
          <cell r="AE2781" t="str">
            <v>01 - RENOVADA</v>
          </cell>
          <cell r="AP2781">
            <v>70210279</v>
          </cell>
        </row>
        <row r="2782">
          <cell r="AE2782" t="str">
            <v>01 - RENOVADA</v>
          </cell>
          <cell r="AP2782">
            <v>70229395</v>
          </cell>
        </row>
        <row r="2783">
          <cell r="AE2783" t="str">
            <v>01 - RENOVADA</v>
          </cell>
          <cell r="AP2783">
            <v>70215658</v>
          </cell>
        </row>
        <row r="2784">
          <cell r="AE2784" t="str">
            <v>01 - RENOVADA</v>
          </cell>
          <cell r="AP2784">
            <v>70217862</v>
          </cell>
        </row>
        <row r="2785">
          <cell r="AE2785" t="str">
            <v>05 - ANULADA EN VIGENCIA</v>
          </cell>
          <cell r="AP2785">
            <v>2003690859</v>
          </cell>
        </row>
        <row r="2786">
          <cell r="AE2786" t="str">
            <v>01 - RENOVADA</v>
          </cell>
          <cell r="AP2786">
            <v>1402599</v>
          </cell>
        </row>
        <row r="2787">
          <cell r="AE2787" t="str">
            <v>05 - ANULADA EN VIGENCIA</v>
          </cell>
          <cell r="AP2787">
            <v>1030210</v>
          </cell>
        </row>
        <row r="2788">
          <cell r="AE2788" t="str">
            <v>05 - ANULADA EN VIGENCIA</v>
          </cell>
          <cell r="AP2788">
            <v>1234104</v>
          </cell>
        </row>
        <row r="2789">
          <cell r="AE2789" t="str">
            <v>01 - RENOVADA</v>
          </cell>
          <cell r="AP2789">
            <v>2010718475</v>
          </cell>
        </row>
        <row r="2790">
          <cell r="AE2790" t="str">
            <v>05 - ANULADA EN VIGENCIA</v>
          </cell>
          <cell r="AP2790">
            <v>1096700</v>
          </cell>
        </row>
        <row r="2791">
          <cell r="AE2791" t="str">
            <v>04 - NO RENOVADA</v>
          </cell>
          <cell r="AP2791">
            <v>1379346</v>
          </cell>
        </row>
        <row r="2792">
          <cell r="AE2792" t="str">
            <v>07 - DEVUELTO A AON</v>
          </cell>
          <cell r="AP2792">
            <v>1260314</v>
          </cell>
        </row>
        <row r="2793">
          <cell r="AE2793" t="str">
            <v>04 - NO RENOVADA</v>
          </cell>
          <cell r="AP2793">
            <v>81738</v>
          </cell>
        </row>
        <row r="2794">
          <cell r="AE2794" t="str">
            <v>05 - ANULADA EN VIGENCIA</v>
          </cell>
          <cell r="AP2794">
            <v>2004536994</v>
          </cell>
        </row>
        <row r="2795">
          <cell r="AE2795" t="str">
            <v>05 - ANULADA EN VIGENCIA</v>
          </cell>
          <cell r="AP2795">
            <v>1030436</v>
          </cell>
        </row>
        <row r="2796">
          <cell r="AE2796" t="str">
            <v>05 - ANULADA EN VIGENCIA</v>
          </cell>
          <cell r="AP2796">
            <v>1232547</v>
          </cell>
        </row>
        <row r="2797">
          <cell r="AE2797" t="str">
            <v>08 - VIGENCIA ANTERIOR</v>
          </cell>
          <cell r="AP2797">
            <v>989611</v>
          </cell>
        </row>
        <row r="2798">
          <cell r="AE2798" t="str">
            <v>08 - VIGENCIA ANTERIOR</v>
          </cell>
          <cell r="AP2798">
            <v>1097007</v>
          </cell>
        </row>
        <row r="2799">
          <cell r="AE2799" t="str">
            <v>05 - ANULADA EN VIGENCIA</v>
          </cell>
          <cell r="AP2799">
            <v>1097008</v>
          </cell>
        </row>
        <row r="2800">
          <cell r="AE2800" t="str">
            <v>08 - VIGENCIA ANTERIOR</v>
          </cell>
          <cell r="AP2800">
            <v>1301748</v>
          </cell>
        </row>
        <row r="2801">
          <cell r="AE2801" t="str">
            <v>01 - RENOVADA</v>
          </cell>
          <cell r="AP2801">
            <v>1576084</v>
          </cell>
        </row>
        <row r="2802">
          <cell r="AE2802" t="str">
            <v>01 - RENOVADA</v>
          </cell>
          <cell r="AP2802">
            <v>1525616</v>
          </cell>
        </row>
        <row r="2803">
          <cell r="AE2803" t="str">
            <v>01 - RENOVADA</v>
          </cell>
          <cell r="AP2803">
            <v>52880</v>
          </cell>
        </row>
        <row r="2804">
          <cell r="AE2804" t="str">
            <v>01 - RENOVADA</v>
          </cell>
          <cell r="AP2804">
            <v>1502209</v>
          </cell>
        </row>
        <row r="2805">
          <cell r="AE2805" t="str">
            <v>04 - NO RENOVADA</v>
          </cell>
          <cell r="AP2805">
            <v>5109473525</v>
          </cell>
        </row>
        <row r="2806">
          <cell r="AE2806" t="str">
            <v>04 - NO RENOVADA</v>
          </cell>
          <cell r="AP2806">
            <v>1068791</v>
          </cell>
        </row>
        <row r="2807">
          <cell r="AE2807" t="str">
            <v>04 - NO RENOVADA</v>
          </cell>
          <cell r="AP2807">
            <v>1276119</v>
          </cell>
        </row>
        <row r="2808">
          <cell r="AE2808" t="str">
            <v>01 - RENOVADA</v>
          </cell>
          <cell r="AP2808">
            <v>74512</v>
          </cell>
        </row>
        <row r="2809">
          <cell r="AE2809" t="str">
            <v>04 - NO RENOVADA</v>
          </cell>
          <cell r="AP2809">
            <v>70144866</v>
          </cell>
        </row>
        <row r="2810">
          <cell r="AE2810" t="str">
            <v>05 - ANULADA EN VIGENCIA</v>
          </cell>
          <cell r="AP2810">
            <v>92521</v>
          </cell>
        </row>
        <row r="2811">
          <cell r="AE2811" t="str">
            <v>01 - RENOVADA</v>
          </cell>
          <cell r="AP2811">
            <v>35522</v>
          </cell>
        </row>
        <row r="2812">
          <cell r="AE2812" t="str">
            <v>05 - ANULADA EN VIGENCIA</v>
          </cell>
          <cell r="AP2812">
            <v>70118020</v>
          </cell>
        </row>
        <row r="2813">
          <cell r="AE2813" t="str">
            <v>01 - RENOVADA</v>
          </cell>
          <cell r="AP2813">
            <v>2009501540</v>
          </cell>
        </row>
        <row r="2814">
          <cell r="AE2814" t="str">
            <v>01 - RENOVADA</v>
          </cell>
          <cell r="AP2814">
            <v>9568115</v>
          </cell>
        </row>
        <row r="2815">
          <cell r="AE2815" t="str">
            <v>08 - VIGENCIA ANTERIOR</v>
          </cell>
          <cell r="AP2815">
            <v>1261837</v>
          </cell>
        </row>
        <row r="2816">
          <cell r="AE2816" t="str">
            <v>01 - RENOVADA</v>
          </cell>
          <cell r="AP2816">
            <v>70230847</v>
          </cell>
        </row>
        <row r="2817">
          <cell r="AE2817" t="str">
            <v>04 - NO RENOVADA</v>
          </cell>
          <cell r="AP2817">
            <v>2006116844</v>
          </cell>
        </row>
        <row r="2818">
          <cell r="AE2818" t="str">
            <v>04 - NO RENOVADA</v>
          </cell>
          <cell r="AP2818">
            <v>2006123252</v>
          </cell>
        </row>
        <row r="2819">
          <cell r="AE2819" t="str">
            <v>01 - RENOVADA</v>
          </cell>
          <cell r="AP2819">
            <v>2008798255</v>
          </cell>
        </row>
        <row r="2820">
          <cell r="AE2820" t="str">
            <v>08 - VIGENCIA ANTERIOR</v>
          </cell>
          <cell r="AP2820">
            <v>2007256530</v>
          </cell>
        </row>
        <row r="2821">
          <cell r="AE2821" t="str">
            <v>01 - RENOVADA</v>
          </cell>
          <cell r="AP2821">
            <v>2008857703</v>
          </cell>
        </row>
        <row r="2822">
          <cell r="AE2822" t="str">
            <v>01 - RENOVADA</v>
          </cell>
          <cell r="AP2822">
            <v>2011359678</v>
          </cell>
        </row>
        <row r="2823">
          <cell r="AE2823" t="str">
            <v>05 - ANULADA EN VIGENCIA</v>
          </cell>
          <cell r="AP2823">
            <v>35774</v>
          </cell>
        </row>
        <row r="2824">
          <cell r="AE2824" t="str">
            <v>08 - VIGENCIA ANTERIOR</v>
          </cell>
          <cell r="AP2824">
            <v>1053057</v>
          </cell>
        </row>
        <row r="2825">
          <cell r="AE2825" t="str">
            <v>05 - ANULADA EN VIGENCIA</v>
          </cell>
          <cell r="AP2825">
            <v>1346709</v>
          </cell>
        </row>
        <row r="2826">
          <cell r="AE2826" t="str">
            <v>03 - PENDIENTE</v>
          </cell>
          <cell r="AP2826">
            <v>57824</v>
          </cell>
        </row>
        <row r="2827">
          <cell r="AE2827" t="str">
            <v>01 - RENOVADA</v>
          </cell>
          <cell r="AP2827">
            <v>16870823</v>
          </cell>
        </row>
        <row r="2828">
          <cell r="AE2828" t="str">
            <v>03 - PENDIENTE</v>
          </cell>
          <cell r="AP2828">
            <v>66684</v>
          </cell>
        </row>
        <row r="2829">
          <cell r="AE2829" t="str">
            <v>04 - NO RENOVADA</v>
          </cell>
          <cell r="AP2829">
            <v>34312</v>
          </cell>
        </row>
        <row r="2830">
          <cell r="AE2830" t="str">
            <v>01 - RENOVADA</v>
          </cell>
          <cell r="AP2830">
            <v>2010767971</v>
          </cell>
        </row>
        <row r="2831">
          <cell r="AE2831" t="str">
            <v>01 - RENOVADA</v>
          </cell>
          <cell r="AP2831">
            <v>1498203</v>
          </cell>
        </row>
        <row r="2832">
          <cell r="AE2832" t="str">
            <v>01 - RENOVADA</v>
          </cell>
          <cell r="AP2832">
            <v>2011904568</v>
          </cell>
        </row>
        <row r="2833">
          <cell r="AE2833" t="str">
            <v>05 - ANULADA EN VIGENCIA</v>
          </cell>
          <cell r="AP2833">
            <v>1011784</v>
          </cell>
        </row>
        <row r="2834">
          <cell r="AE2834" t="str">
            <v>05 - ANULADA EN VIGENCIA</v>
          </cell>
          <cell r="AP2834">
            <v>1126899</v>
          </cell>
        </row>
        <row r="2835">
          <cell r="AE2835" t="str">
            <v>05 - ANULADA EN VIGENCIA</v>
          </cell>
          <cell r="AP2835">
            <v>70182746</v>
          </cell>
        </row>
        <row r="2836">
          <cell r="AE2836" t="str">
            <v>03 - PENDIENTE</v>
          </cell>
          <cell r="AP2836">
            <v>58292</v>
          </cell>
        </row>
        <row r="2837">
          <cell r="AE2837" t="str">
            <v>01 - RENOVADA</v>
          </cell>
          <cell r="AP2837">
            <v>70230391</v>
          </cell>
        </row>
        <row r="2838">
          <cell r="AE2838" t="str">
            <v>05 - ANULADA EN VIGENCIA</v>
          </cell>
          <cell r="AP2838">
            <v>2003978862</v>
          </cell>
        </row>
        <row r="2839">
          <cell r="AE2839" t="str">
            <v>05 - ANULADA EN VIGENCIA</v>
          </cell>
          <cell r="AP2839">
            <v>77735</v>
          </cell>
        </row>
        <row r="2840">
          <cell r="AE2840" t="str">
            <v>01 - RENOVADA</v>
          </cell>
          <cell r="AP2840">
            <v>53310</v>
          </cell>
        </row>
        <row r="2841">
          <cell r="AE2841" t="str">
            <v>01 - RENOVADA</v>
          </cell>
          <cell r="AP2841">
            <v>1162315800092</v>
          </cell>
        </row>
        <row r="2842">
          <cell r="AE2842" t="str">
            <v>05 - ANULADA EN VIGENCIA</v>
          </cell>
          <cell r="AP2842">
            <v>1232155</v>
          </cell>
        </row>
        <row r="2843">
          <cell r="AE2843" t="str">
            <v>04 - NO RENOVADA</v>
          </cell>
          <cell r="AP2843">
            <v>85326</v>
          </cell>
        </row>
        <row r="2844">
          <cell r="AE2844" t="str">
            <v>01 - RENOVADA</v>
          </cell>
          <cell r="AP2844">
            <v>37765</v>
          </cell>
        </row>
        <row r="2845">
          <cell r="AE2845" t="str">
            <v>05 - ANULADA EN VIGENCIA</v>
          </cell>
          <cell r="AP2845">
            <v>71805</v>
          </cell>
        </row>
        <row r="2846">
          <cell r="AE2846" t="str">
            <v>05 - ANULADA EN VIGENCIA</v>
          </cell>
          <cell r="AP2846">
            <v>2004523534</v>
          </cell>
        </row>
        <row r="2847">
          <cell r="AE2847" t="str">
            <v>04 - NO RENOVADA</v>
          </cell>
          <cell r="AP2847">
            <v>2004649758</v>
          </cell>
        </row>
        <row r="2848">
          <cell r="AE2848" t="str">
            <v>05 - ANULADA EN VIGENCIA</v>
          </cell>
          <cell r="AP2848">
            <v>1413328</v>
          </cell>
        </row>
        <row r="2849">
          <cell r="AE2849" t="str">
            <v>01 - RENOVADA</v>
          </cell>
          <cell r="AP2849">
            <v>2011920204</v>
          </cell>
        </row>
        <row r="2850">
          <cell r="AE2850" t="str">
            <v>05 - ANULADA EN VIGENCIA</v>
          </cell>
          <cell r="AP2850">
            <v>2004687265</v>
          </cell>
        </row>
        <row r="2851">
          <cell r="AE2851" t="str">
            <v>04 - NO RENOVADA</v>
          </cell>
          <cell r="AP2851">
            <v>1265360</v>
          </cell>
        </row>
        <row r="2852">
          <cell r="AE2852" t="str">
            <v>05 - ANULADA EN VIGENCIA</v>
          </cell>
          <cell r="AP2852">
            <v>76329</v>
          </cell>
        </row>
        <row r="2853">
          <cell r="AE2853" t="str">
            <v>01 - RENOVADA</v>
          </cell>
          <cell r="AP2853">
            <v>36051</v>
          </cell>
        </row>
        <row r="2854">
          <cell r="AE2854" t="str">
            <v>05 - ANULADA EN VIGENCIA</v>
          </cell>
          <cell r="AP2854">
            <v>1244985</v>
          </cell>
        </row>
        <row r="2855">
          <cell r="AE2855" t="str">
            <v>05 - ANULADA EN VIGENCIA</v>
          </cell>
          <cell r="AP2855">
            <v>1046468</v>
          </cell>
        </row>
        <row r="2856">
          <cell r="AE2856" t="str">
            <v>04 - NO RENOVADA</v>
          </cell>
          <cell r="AP2856">
            <v>2006556667</v>
          </cell>
        </row>
        <row r="2857">
          <cell r="AE2857" t="str">
            <v>04 - NO RENOVADA</v>
          </cell>
          <cell r="AP2857">
            <v>16822671</v>
          </cell>
        </row>
        <row r="2858">
          <cell r="AE2858" t="str">
            <v>04 - NO RENOVADA</v>
          </cell>
          <cell r="AP2858">
            <v>1073727</v>
          </cell>
        </row>
        <row r="2859">
          <cell r="AE2859" t="str">
            <v>01 - RENOVADA</v>
          </cell>
          <cell r="AP2859">
            <v>2008501329</v>
          </cell>
        </row>
        <row r="2860">
          <cell r="AE2860" t="str">
            <v>01 - RENOVADA</v>
          </cell>
          <cell r="AP2860">
            <v>2009731147</v>
          </cell>
        </row>
        <row r="2861">
          <cell r="AE2861" t="str">
            <v>04 - NO RENOVADA</v>
          </cell>
          <cell r="AP2861">
            <v>9196161</v>
          </cell>
        </row>
        <row r="2862">
          <cell r="AE2862" t="str">
            <v>01 - RENOVADA</v>
          </cell>
          <cell r="AP2862">
            <v>70216583</v>
          </cell>
        </row>
        <row r="2863">
          <cell r="AE2863" t="str">
            <v>04 - NO RENOVADA</v>
          </cell>
          <cell r="AP2863">
            <v>70149313</v>
          </cell>
        </row>
        <row r="2864">
          <cell r="AE2864" t="str">
            <v>04 - NO RENOVADA</v>
          </cell>
          <cell r="AP2864">
            <v>1004648</v>
          </cell>
        </row>
        <row r="2865">
          <cell r="AE2865" t="str">
            <v>01 - RENOVADA</v>
          </cell>
          <cell r="AP2865">
            <v>2009499356</v>
          </cell>
        </row>
        <row r="2866">
          <cell r="AE2866" t="str">
            <v>05 - ANULADA EN VIGENCIA</v>
          </cell>
          <cell r="AP2866">
            <v>15796570</v>
          </cell>
        </row>
        <row r="2867">
          <cell r="AE2867" t="str">
            <v>01 - RENOVADA</v>
          </cell>
          <cell r="AP2867">
            <v>100108</v>
          </cell>
        </row>
        <row r="2868">
          <cell r="AE2868" t="str">
            <v>04 - NO RENOVADA</v>
          </cell>
          <cell r="AP2868">
            <v>5109649824</v>
          </cell>
        </row>
        <row r="2869">
          <cell r="AE2869" t="str">
            <v>05 - ANULADA EN VIGENCIA</v>
          </cell>
          <cell r="AP2869">
            <v>1411516</v>
          </cell>
        </row>
        <row r="2870">
          <cell r="AE2870" t="str">
            <v>01 - RENOVADA</v>
          </cell>
          <cell r="AP2870">
            <v>5109774404</v>
          </cell>
        </row>
        <row r="2871">
          <cell r="AE2871" t="str">
            <v>01 - RENOVADA</v>
          </cell>
          <cell r="AP2871">
            <v>70218356</v>
          </cell>
        </row>
        <row r="2872">
          <cell r="AE2872" t="str">
            <v>01 - RENOVADA</v>
          </cell>
          <cell r="AP2872">
            <v>70218770</v>
          </cell>
        </row>
        <row r="2873">
          <cell r="AE2873" t="str">
            <v>05 - ANULADA EN VIGENCIA</v>
          </cell>
          <cell r="AP2873">
            <v>70181666</v>
          </cell>
        </row>
        <row r="2874">
          <cell r="AE2874" t="str">
            <v>01 - RENOVADA</v>
          </cell>
          <cell r="AP2874">
            <v>70206640</v>
          </cell>
        </row>
        <row r="2875">
          <cell r="AE2875" t="str">
            <v>05 - ANULADA EN VIGENCIA</v>
          </cell>
          <cell r="AP2875">
            <v>2009017505</v>
          </cell>
        </row>
        <row r="2876">
          <cell r="AE2876" t="str">
            <v>01 - RENOVADA</v>
          </cell>
          <cell r="AP2876">
            <v>2009478481</v>
          </cell>
        </row>
        <row r="2877">
          <cell r="AE2877" t="str">
            <v>01 - RENOVADA</v>
          </cell>
          <cell r="AP2877">
            <v>16678219</v>
          </cell>
        </row>
        <row r="2878">
          <cell r="AE2878" t="str">
            <v>01 - RENOVADA</v>
          </cell>
          <cell r="AP2878">
            <v>9594737</v>
          </cell>
        </row>
        <row r="2879">
          <cell r="AE2879" t="str">
            <v>05 - ANULADA EN VIGENCIA</v>
          </cell>
          <cell r="AP2879">
            <v>1265887</v>
          </cell>
        </row>
        <row r="2880">
          <cell r="AE2880" t="str">
            <v>01 - RENOVADA</v>
          </cell>
          <cell r="AP2880">
            <v>2011939160</v>
          </cell>
        </row>
        <row r="2881">
          <cell r="AE2881" t="str">
            <v>01 - RENOVADA</v>
          </cell>
          <cell r="AP2881">
            <v>69741</v>
          </cell>
        </row>
        <row r="2882">
          <cell r="AE2882" t="str">
            <v>01 - RENOVADA</v>
          </cell>
          <cell r="AP2882">
            <v>70242403</v>
          </cell>
        </row>
        <row r="2883">
          <cell r="AE2883" t="str">
            <v>05 - ANULADA EN VIGENCIA</v>
          </cell>
          <cell r="AP2883">
            <v>16920407</v>
          </cell>
        </row>
        <row r="2884">
          <cell r="AE2884" t="str">
            <v>01 - RENOVADA</v>
          </cell>
          <cell r="AP2884">
            <v>2005084558</v>
          </cell>
        </row>
        <row r="2885">
          <cell r="AE2885" t="str">
            <v>04 - NO RENOVADA</v>
          </cell>
          <cell r="AP2885">
            <v>2007825076</v>
          </cell>
        </row>
        <row r="2886">
          <cell r="AE2886" t="str">
            <v>01 - RENOVADA</v>
          </cell>
          <cell r="AP2886">
            <v>70242585</v>
          </cell>
        </row>
        <row r="2887">
          <cell r="AE2887" t="str">
            <v>08 - VIGENCIA ANTERIOR</v>
          </cell>
          <cell r="AP2887">
            <v>1288210</v>
          </cell>
        </row>
        <row r="2888">
          <cell r="AE2888" t="str">
            <v>01 - RENOVADA</v>
          </cell>
          <cell r="AP2888">
            <v>1563560</v>
          </cell>
        </row>
        <row r="2889">
          <cell r="AE2889" t="str">
            <v>01 - RENOVADA</v>
          </cell>
          <cell r="AP2889">
            <v>2010814425</v>
          </cell>
        </row>
        <row r="2890">
          <cell r="AE2890" t="str">
            <v>05 - ANULADA EN VIGENCIA</v>
          </cell>
          <cell r="AP2890">
            <v>81061</v>
          </cell>
        </row>
        <row r="2891">
          <cell r="AE2891" t="str">
            <v>05 - ANULADA EN VIGENCIA</v>
          </cell>
          <cell r="AP2891">
            <v>38755</v>
          </cell>
        </row>
        <row r="2892">
          <cell r="AE2892" t="str">
            <v>05 - ANULADA EN VIGENCIA</v>
          </cell>
          <cell r="AP2892">
            <v>37095</v>
          </cell>
        </row>
        <row r="2893">
          <cell r="AE2893" t="str">
            <v>04 - NO RENOVADA</v>
          </cell>
          <cell r="AP2893">
            <v>44189</v>
          </cell>
        </row>
        <row r="2894">
          <cell r="AE2894" t="str">
            <v>03 - PENDIENTE</v>
          </cell>
          <cell r="AP2894">
            <v>70205169</v>
          </cell>
        </row>
        <row r="2895">
          <cell r="AE2895" t="str">
            <v>04 - NO RENOVADA</v>
          </cell>
          <cell r="AP2895">
            <v>2009823688</v>
          </cell>
        </row>
        <row r="2896">
          <cell r="AE2896" t="str">
            <v>04 - NO RENOVADA</v>
          </cell>
          <cell r="AP2896">
            <v>2007390641</v>
          </cell>
        </row>
        <row r="2897">
          <cell r="AE2897" t="str">
            <v>05 - ANULADA EN VIGENCIA</v>
          </cell>
          <cell r="AP2897">
            <v>1364933</v>
          </cell>
        </row>
        <row r="2898">
          <cell r="AE2898" t="str">
            <v>04 - NO RENOVADA</v>
          </cell>
          <cell r="AP2898">
            <v>30079330</v>
          </cell>
        </row>
        <row r="2899">
          <cell r="AE2899" t="str">
            <v>05 - ANULADA EN VIGENCIA</v>
          </cell>
          <cell r="AP2899">
            <v>2009471089</v>
          </cell>
        </row>
        <row r="2900">
          <cell r="AE2900" t="str">
            <v>05 - ANULADA EN VIGENCIA</v>
          </cell>
          <cell r="AP2900">
            <v>2009404340</v>
          </cell>
        </row>
        <row r="2901">
          <cell r="AE2901" t="str">
            <v>01 - RENOVADA</v>
          </cell>
          <cell r="AP2901">
            <v>67765</v>
          </cell>
        </row>
        <row r="2902">
          <cell r="AE2902" t="str">
            <v>05 - ANULADA EN VIGENCIA</v>
          </cell>
          <cell r="AP2902">
            <v>67654</v>
          </cell>
        </row>
        <row r="2903">
          <cell r="AE2903" t="str">
            <v>05 - ANULADA EN VIGENCIA</v>
          </cell>
          <cell r="AP2903">
            <v>44436</v>
          </cell>
        </row>
        <row r="2904">
          <cell r="AE2904" t="str">
            <v>01 - RENOVADA</v>
          </cell>
          <cell r="AP2904">
            <v>91801</v>
          </cell>
        </row>
        <row r="2905">
          <cell r="AE2905" t="str">
            <v>05 - ANULADA EN VIGENCIA</v>
          </cell>
          <cell r="AP2905">
            <v>1408926</v>
          </cell>
        </row>
        <row r="2906">
          <cell r="AE2906" t="str">
            <v>08 - VIGENCIA ANTERIOR</v>
          </cell>
          <cell r="AP2906">
            <v>1059976</v>
          </cell>
        </row>
        <row r="2907">
          <cell r="AE2907" t="str">
            <v>05 - ANULADA EN VIGENCIA</v>
          </cell>
          <cell r="AP2907">
            <v>1269436</v>
          </cell>
        </row>
        <row r="2908">
          <cell r="AE2908" t="str">
            <v>04 - NO RENOVADA</v>
          </cell>
          <cell r="AP2908">
            <v>1117642</v>
          </cell>
        </row>
        <row r="2909">
          <cell r="AE2909" t="str">
            <v>05 - ANULADA EN VIGENCIA</v>
          </cell>
          <cell r="AP2909">
            <v>1059970</v>
          </cell>
        </row>
        <row r="2910">
          <cell r="AE2910" t="str">
            <v>05 - ANULADA EN VIGENCIA</v>
          </cell>
          <cell r="AP2910">
            <v>1268993</v>
          </cell>
        </row>
        <row r="2911">
          <cell r="AE2911" t="str">
            <v>05 - ANULADA EN VIGENCIA</v>
          </cell>
          <cell r="AP2911">
            <v>81712</v>
          </cell>
        </row>
        <row r="2912">
          <cell r="AE2912" t="str">
            <v>05 - ANULADA EN VIGENCIA</v>
          </cell>
          <cell r="AP2912">
            <v>1245250</v>
          </cell>
        </row>
        <row r="2913">
          <cell r="AE2913" t="str">
            <v>08 - VIGENCIA ANTERIOR</v>
          </cell>
          <cell r="AP2913">
            <v>993666</v>
          </cell>
        </row>
        <row r="2914">
          <cell r="AE2914" t="str">
            <v>05 - ANULADA EN VIGENCIA</v>
          </cell>
          <cell r="AP2914">
            <v>1301732</v>
          </cell>
        </row>
        <row r="2915">
          <cell r="AE2915" t="str">
            <v>01 - RENOVADA</v>
          </cell>
          <cell r="AP2915">
            <v>79146</v>
          </cell>
        </row>
        <row r="2916">
          <cell r="AE2916" t="str">
            <v>01 - RENOVADA</v>
          </cell>
          <cell r="AP2916">
            <v>1563912</v>
          </cell>
        </row>
        <row r="2917">
          <cell r="AE2917" t="str">
            <v>05 - ANULADA EN VIGENCIA</v>
          </cell>
          <cell r="AP2917">
            <v>724412</v>
          </cell>
        </row>
        <row r="2918">
          <cell r="AE2918" t="str">
            <v>04 - NO RENOVADA</v>
          </cell>
          <cell r="AP2918">
            <v>16530369</v>
          </cell>
        </row>
        <row r="2919">
          <cell r="AE2919" t="str">
            <v>01 - RENOVADA</v>
          </cell>
          <cell r="AP2919">
            <v>17255768</v>
          </cell>
        </row>
        <row r="2920">
          <cell r="AE2920" t="str">
            <v>05 - ANULADA EN VIGENCIA</v>
          </cell>
          <cell r="AP2920">
            <v>2009403852</v>
          </cell>
        </row>
        <row r="2921">
          <cell r="AE2921" t="str">
            <v>04 - NO RENOVADA</v>
          </cell>
          <cell r="AP2921">
            <v>1119995</v>
          </cell>
        </row>
        <row r="2922">
          <cell r="AE2922" t="str">
            <v>03 - PENDIENTE</v>
          </cell>
          <cell r="AP2922">
            <v>2011026552</v>
          </cell>
        </row>
        <row r="2923">
          <cell r="AE2923" t="str">
            <v>04 - NO RENOVADA</v>
          </cell>
          <cell r="AP2923">
            <v>2004687973</v>
          </cell>
        </row>
        <row r="2924">
          <cell r="AE2924" t="str">
            <v>01 - RENOVADA</v>
          </cell>
          <cell r="AP2924">
            <v>101748</v>
          </cell>
        </row>
        <row r="2925">
          <cell r="AE2925" t="str">
            <v>04 - NO RENOVADA</v>
          </cell>
          <cell r="AP2925">
            <v>768652</v>
          </cell>
        </row>
        <row r="2926">
          <cell r="AE2926" t="str">
            <v>04 - NO RENOVADA</v>
          </cell>
          <cell r="AP2926">
            <v>5109689062</v>
          </cell>
        </row>
        <row r="2927">
          <cell r="AE2927" t="str">
            <v>04 - NO RENOVADA</v>
          </cell>
          <cell r="AP2927">
            <v>17297012</v>
          </cell>
        </row>
        <row r="2928">
          <cell r="AE2928" t="str">
            <v>05 - ANULADA EN VIGENCIA</v>
          </cell>
          <cell r="AP2928">
            <v>1120565</v>
          </cell>
        </row>
        <row r="2929">
          <cell r="AE2929" t="str">
            <v>05 - ANULADA EN VIGENCIA</v>
          </cell>
          <cell r="AP2929">
            <v>1300352</v>
          </cell>
        </row>
        <row r="2930">
          <cell r="AE2930" t="str">
            <v>01 - RENOVADA</v>
          </cell>
          <cell r="AP2930">
            <v>2009902124</v>
          </cell>
        </row>
        <row r="2931">
          <cell r="AE2931" t="str">
            <v>01 - RENOVADA</v>
          </cell>
          <cell r="AP2931">
            <v>2011321605</v>
          </cell>
        </row>
        <row r="2932">
          <cell r="AE2932" t="str">
            <v>01 - RENOVADA</v>
          </cell>
          <cell r="AP2932">
            <v>8936</v>
          </cell>
        </row>
        <row r="2933">
          <cell r="AE2933" t="str">
            <v>01 - RENOVADA</v>
          </cell>
          <cell r="AP2933">
            <v>2009456963</v>
          </cell>
        </row>
        <row r="2934">
          <cell r="AE2934" t="str">
            <v>01 - RENOVADA</v>
          </cell>
          <cell r="AP2934">
            <v>4911107</v>
          </cell>
        </row>
        <row r="2935">
          <cell r="AE2935" t="str">
            <v>03 - PENDIENTE</v>
          </cell>
          <cell r="AP2935">
            <v>2007936901</v>
          </cell>
        </row>
        <row r="2936">
          <cell r="AE2936" t="str">
            <v>01 - RENOVADA</v>
          </cell>
          <cell r="AP2936">
            <v>2011139493</v>
          </cell>
        </row>
        <row r="2937">
          <cell r="AE2937" t="str">
            <v>05 - ANULADA EN VIGENCIA</v>
          </cell>
          <cell r="AP2937">
            <v>2009005017</v>
          </cell>
        </row>
        <row r="2938">
          <cell r="AE2938" t="str">
            <v>01 - RENOVADA</v>
          </cell>
          <cell r="AP2938">
            <v>4011000108</v>
          </cell>
        </row>
        <row r="2939">
          <cell r="AE2939" t="str">
            <v>05 - ANULADA EN VIGENCIA</v>
          </cell>
          <cell r="AP2939">
            <v>1271492</v>
          </cell>
        </row>
        <row r="2940">
          <cell r="AE2940" t="str">
            <v>01 - RENOVADA</v>
          </cell>
          <cell r="AP2940">
            <v>1563861</v>
          </cell>
        </row>
        <row r="2941">
          <cell r="AE2941" t="str">
            <v>01 - RENOVADA</v>
          </cell>
          <cell r="AP2941">
            <v>80438902</v>
          </cell>
        </row>
        <row r="2942">
          <cell r="AE2942" t="str">
            <v>04 - NO RENOVADA</v>
          </cell>
          <cell r="AP2942">
            <v>70126109</v>
          </cell>
        </row>
        <row r="2943">
          <cell r="AE2943" t="str">
            <v>01 - RENOVADA</v>
          </cell>
          <cell r="AP2943">
            <v>98170</v>
          </cell>
        </row>
        <row r="2944">
          <cell r="AE2944" t="str">
            <v>01 - RENOVADA</v>
          </cell>
          <cell r="AP2944">
            <v>18254244</v>
          </cell>
        </row>
        <row r="2945">
          <cell r="AE2945" t="str">
            <v>01 - RENOVADA</v>
          </cell>
          <cell r="AP2945">
            <v>21099599</v>
          </cell>
        </row>
        <row r="2946">
          <cell r="AE2946" t="str">
            <v>05 - ANULADA EN VIGENCIA</v>
          </cell>
          <cell r="AP2946">
            <v>2006930175</v>
          </cell>
        </row>
        <row r="2947">
          <cell r="AE2947" t="str">
            <v>05 - ANULADA EN VIGENCIA</v>
          </cell>
          <cell r="AP2947">
            <v>70173259</v>
          </cell>
        </row>
        <row r="2948">
          <cell r="AE2948" t="str">
            <v>01 - RENOVADA</v>
          </cell>
          <cell r="AP2948">
            <v>15638781</v>
          </cell>
        </row>
        <row r="2949">
          <cell r="AE2949" t="str">
            <v>01 - RENOVADA</v>
          </cell>
          <cell r="AP2949">
            <v>2008529058</v>
          </cell>
        </row>
        <row r="2950">
          <cell r="AE2950" t="str">
            <v>01 - RENOVADA</v>
          </cell>
          <cell r="AP2950">
            <v>18671180</v>
          </cell>
        </row>
        <row r="2951">
          <cell r="AE2951" t="str">
            <v>04 - NO RENOVADA</v>
          </cell>
          <cell r="AP2951" t="str">
            <v>P0298458</v>
          </cell>
        </row>
        <row r="2952">
          <cell r="AE2952" t="str">
            <v>04 - NO RENOVADA</v>
          </cell>
          <cell r="AP2952" t="str">
            <v>S0368366</v>
          </cell>
        </row>
        <row r="2953">
          <cell r="AE2953" t="str">
            <v>04 - NO RENOVADA</v>
          </cell>
          <cell r="AP2953">
            <v>1129805</v>
          </cell>
        </row>
        <row r="2954">
          <cell r="AE2954" t="str">
            <v>04 - NO RENOVADA</v>
          </cell>
          <cell r="AP2954">
            <v>620101481</v>
          </cell>
        </row>
        <row r="2955">
          <cell r="AE2955" t="str">
            <v>04 - NO RENOVADA</v>
          </cell>
          <cell r="AP2955">
            <v>64486</v>
          </cell>
        </row>
        <row r="2956">
          <cell r="AE2956" t="str">
            <v>01 - RENOVADA</v>
          </cell>
          <cell r="AP2956">
            <v>2011928913</v>
          </cell>
        </row>
        <row r="2957">
          <cell r="AE2957" t="str">
            <v>01 - RENOVADA</v>
          </cell>
          <cell r="AP2957">
            <v>70242339</v>
          </cell>
        </row>
        <row r="2958">
          <cell r="AE2958" t="str">
            <v>01 - RENOVADA</v>
          </cell>
          <cell r="AP2958">
            <v>19127652</v>
          </cell>
        </row>
        <row r="2959">
          <cell r="AE2959" t="str">
            <v>01 - RENOVADA</v>
          </cell>
          <cell r="AP2959">
            <v>19216244</v>
          </cell>
        </row>
        <row r="2960">
          <cell r="AE2960" t="str">
            <v>01 - RENOVADA</v>
          </cell>
          <cell r="AP2960">
            <v>4980230</v>
          </cell>
        </row>
        <row r="2961">
          <cell r="AE2961" t="str">
            <v>04 - NO RENOVADA</v>
          </cell>
          <cell r="AP2961">
            <v>19298212</v>
          </cell>
        </row>
        <row r="2962">
          <cell r="AE2962" t="str">
            <v>02 - EN PROCESO</v>
          </cell>
          <cell r="AP2962">
            <v>19340241</v>
          </cell>
        </row>
        <row r="2963">
          <cell r="AE2963" t="str">
            <v>04 - NO RENOVADA</v>
          </cell>
          <cell r="AP2963" t="str">
            <v>P0304337</v>
          </cell>
        </row>
        <row r="2964">
          <cell r="AE2964" t="str">
            <v>04 - NO RENOVADA</v>
          </cell>
          <cell r="AP2964" t="str">
            <v>S0378318</v>
          </cell>
        </row>
        <row r="2965">
          <cell r="AE2965" t="str">
            <v>01 - RENOVADA</v>
          </cell>
          <cell r="AP2965">
            <v>428294</v>
          </cell>
        </row>
        <row r="2966">
          <cell r="AE2966" t="str">
            <v>05 - ANULADA EN VIGENCIA</v>
          </cell>
          <cell r="AP2966">
            <v>127986</v>
          </cell>
        </row>
        <row r="2967">
          <cell r="AE2967" t="str">
            <v>05 - ANULADA EN VIGENCIA</v>
          </cell>
          <cell r="AP2967">
            <v>1000265578</v>
          </cell>
        </row>
        <row r="2968">
          <cell r="AE2968" t="str">
            <v>05 - ANULADA EN VIGENCIA</v>
          </cell>
          <cell r="AP2968">
            <v>847462</v>
          </cell>
        </row>
        <row r="2969">
          <cell r="AE2969" t="str">
            <v>04 - NO RENOVADA</v>
          </cell>
          <cell r="AP2969">
            <v>1302037</v>
          </cell>
        </row>
        <row r="2970">
          <cell r="AE2970" t="str">
            <v>04 - NO RENOVADA</v>
          </cell>
          <cell r="AP2970">
            <v>2006332913</v>
          </cell>
        </row>
        <row r="2971">
          <cell r="AE2971" t="str">
            <v>05 - ANULADA EN VIGENCIA</v>
          </cell>
          <cell r="AP2971">
            <v>1096615</v>
          </cell>
        </row>
        <row r="2972">
          <cell r="AE2972" t="str">
            <v>04 - NO RENOVADA</v>
          </cell>
          <cell r="AP2972">
            <v>1295093</v>
          </cell>
        </row>
        <row r="2973">
          <cell r="AE2973" t="str">
            <v>01 - RENOVADA</v>
          </cell>
          <cell r="AP2973">
            <v>517753</v>
          </cell>
        </row>
        <row r="2974">
          <cell r="AE2974" t="str">
            <v>03 - PENDIENTE</v>
          </cell>
          <cell r="AP2974">
            <v>1482157</v>
          </cell>
        </row>
        <row r="2975">
          <cell r="AE2975" t="str">
            <v>05 - ANULADA EN VIGENCIA</v>
          </cell>
          <cell r="AP2975">
            <v>1073697</v>
          </cell>
        </row>
        <row r="2976">
          <cell r="AE2976" t="str">
            <v>05 - ANULADA EN VIGENCIA</v>
          </cell>
          <cell r="AP2976">
            <v>1294207</v>
          </cell>
        </row>
        <row r="2977">
          <cell r="AE2977" t="str">
            <v>01 - RENOVADA</v>
          </cell>
          <cell r="AP2977">
            <v>2001385236</v>
          </cell>
        </row>
        <row r="2978">
          <cell r="AE2978" t="str">
            <v>03 - PENDIENTE</v>
          </cell>
          <cell r="AP2978">
            <v>70197364</v>
          </cell>
        </row>
        <row r="2979">
          <cell r="AE2979" t="str">
            <v>04 - NO RENOVADA</v>
          </cell>
          <cell r="AP2979">
            <v>1019467</v>
          </cell>
        </row>
        <row r="2980">
          <cell r="AE2980" t="str">
            <v>08 - VIGENCIA ANTERIOR</v>
          </cell>
          <cell r="AP2980">
            <v>511095</v>
          </cell>
        </row>
        <row r="2981">
          <cell r="AE2981" t="str">
            <v>01 - RENOVADA</v>
          </cell>
          <cell r="AP2981">
            <v>511187</v>
          </cell>
        </row>
        <row r="2982">
          <cell r="AE2982" t="str">
            <v>01 - RENOVADA</v>
          </cell>
          <cell r="AP2982">
            <v>511186</v>
          </cell>
        </row>
        <row r="2983">
          <cell r="AE2983" t="str">
            <v>01 - RENOVADA</v>
          </cell>
          <cell r="AP2983">
            <v>527422</v>
          </cell>
        </row>
        <row r="2984">
          <cell r="AE2984" t="str">
            <v>02 - EN PROCESO</v>
          </cell>
          <cell r="AP2984">
            <v>126783</v>
          </cell>
        </row>
        <row r="2985">
          <cell r="AE2985" t="str">
            <v>02 - EN PROCESO</v>
          </cell>
          <cell r="AP2985">
            <v>62099161</v>
          </cell>
        </row>
        <row r="2986">
          <cell r="AE2986" t="str">
            <v>02 - EN PROCESO</v>
          </cell>
          <cell r="AP2986">
            <v>6000020344</v>
          </cell>
        </row>
        <row r="2987">
          <cell r="AE2987" t="str">
            <v>05 - ANULADA EN VIGENCIA</v>
          </cell>
          <cell r="AP2987">
            <v>814295</v>
          </cell>
        </row>
        <row r="2988">
          <cell r="AE2988" t="str">
            <v>05 - ANULADA EN VIGENCIA</v>
          </cell>
          <cell r="AP2988" t="str">
            <v>1444479-09</v>
          </cell>
        </row>
        <row r="2989">
          <cell r="AE2989" t="str">
            <v>05 - ANULADA EN VIGENCIA</v>
          </cell>
          <cell r="AP2989">
            <v>19067</v>
          </cell>
        </row>
        <row r="2990">
          <cell r="AE2990" t="str">
            <v>08 - VIGENCIA ANTERIOR</v>
          </cell>
          <cell r="AP2990">
            <v>419188</v>
          </cell>
        </row>
        <row r="2991">
          <cell r="AE2991" t="str">
            <v>08 - VIGENCIA ANTERIOR</v>
          </cell>
          <cell r="AP2991">
            <v>1119742</v>
          </cell>
        </row>
        <row r="2992">
          <cell r="AE2992" t="str">
            <v>01 - RENOVADA</v>
          </cell>
          <cell r="AP2992">
            <v>1409951</v>
          </cell>
        </row>
        <row r="2993">
          <cell r="AE2993" t="str">
            <v>05 - ANULADA EN VIGENCIA</v>
          </cell>
          <cell r="AP2993">
            <v>2004674503</v>
          </cell>
        </row>
        <row r="2994">
          <cell r="AE2994" t="str">
            <v>05 - ANULADA EN VIGENCIA</v>
          </cell>
          <cell r="AP2994">
            <v>1003201</v>
          </cell>
        </row>
        <row r="2995">
          <cell r="AE2995" t="str">
            <v>05 - ANULADA EN VIGENCIA</v>
          </cell>
          <cell r="AP2995">
            <v>1125567</v>
          </cell>
        </row>
        <row r="2996">
          <cell r="AE2996" t="str">
            <v>03 - PENDIENTE</v>
          </cell>
          <cell r="AP2996">
            <v>828097</v>
          </cell>
        </row>
        <row r="2997">
          <cell r="AE2997" t="str">
            <v>05 - ANULADA EN VIGENCIA</v>
          </cell>
          <cell r="AP2997">
            <v>128047</v>
          </cell>
        </row>
        <row r="2998">
          <cell r="AE2998" t="str">
            <v>05 - ANULADA EN VIGENCIA</v>
          </cell>
          <cell r="AP2998">
            <v>1000266181</v>
          </cell>
        </row>
        <row r="2999">
          <cell r="AE2999" t="str">
            <v>05 - ANULADA EN VIGENCIA</v>
          </cell>
          <cell r="AP2999">
            <v>848917</v>
          </cell>
        </row>
        <row r="3000">
          <cell r="AE3000" t="str">
            <v>05 - ANULADA EN VIGENCIA</v>
          </cell>
          <cell r="AP3000">
            <v>16556833</v>
          </cell>
        </row>
        <row r="3001">
          <cell r="AE3001" t="str">
            <v>01 - RENOVADA</v>
          </cell>
          <cell r="AP3001">
            <v>2009501343</v>
          </cell>
        </row>
        <row r="3002">
          <cell r="AE3002" t="str">
            <v>08 - VIGENCIA ANTERIOR</v>
          </cell>
          <cell r="AP3002">
            <v>1016767</v>
          </cell>
        </row>
        <row r="3003">
          <cell r="AE3003" t="str">
            <v>04 - NO RENOVADA</v>
          </cell>
          <cell r="AP3003">
            <v>1114443</v>
          </cell>
        </row>
        <row r="3004">
          <cell r="AE3004" t="str">
            <v>04 - NO RENOVADA</v>
          </cell>
          <cell r="AP3004" t="str">
            <v>P0308063</v>
          </cell>
        </row>
        <row r="3005">
          <cell r="AE3005" t="str">
            <v>04 - NO RENOVADA</v>
          </cell>
          <cell r="AP3005" t="str">
            <v>S0384054</v>
          </cell>
        </row>
        <row r="3006">
          <cell r="AE3006" t="str">
            <v>05 - ANULADA EN VIGENCIA</v>
          </cell>
          <cell r="AP3006">
            <v>127958</v>
          </cell>
        </row>
        <row r="3007">
          <cell r="AE3007" t="str">
            <v>05 - ANULADA EN VIGENCIA</v>
          </cell>
          <cell r="AP3007">
            <v>1000265562</v>
          </cell>
        </row>
        <row r="3008">
          <cell r="AE3008" t="str">
            <v>05 - ANULADA EN VIGENCIA</v>
          </cell>
          <cell r="AP3008">
            <v>847446</v>
          </cell>
        </row>
        <row r="3009">
          <cell r="AE3009" t="str">
            <v>08 - VIGENCIA ANTERIOR</v>
          </cell>
          <cell r="AP3009">
            <v>1028250</v>
          </cell>
        </row>
        <row r="3010">
          <cell r="AE3010" t="str">
            <v>05 - ANULADA EN VIGENCIA</v>
          </cell>
          <cell r="AP3010">
            <v>2009562397</v>
          </cell>
        </row>
        <row r="3011">
          <cell r="AE3011" t="str">
            <v>01 - RENOVADA</v>
          </cell>
          <cell r="AP3011">
            <v>70218084</v>
          </cell>
        </row>
        <row r="3012">
          <cell r="AE3012" t="str">
            <v>05 - ANULADA EN VIGENCIA</v>
          </cell>
          <cell r="AP3012">
            <v>70081</v>
          </cell>
        </row>
        <row r="3013">
          <cell r="AE3013" t="str">
            <v>01 - RENOVADA</v>
          </cell>
          <cell r="AP3013">
            <v>3609909</v>
          </cell>
        </row>
        <row r="3014">
          <cell r="AE3014" t="str">
            <v>05 - ANULADA EN VIGENCIA</v>
          </cell>
          <cell r="AP3014">
            <v>2004468774</v>
          </cell>
        </row>
        <row r="3015">
          <cell r="AE3015" t="str">
            <v>05 - ANULADA EN VIGENCIA</v>
          </cell>
          <cell r="AP3015">
            <v>1034644</v>
          </cell>
        </row>
        <row r="3016">
          <cell r="AE3016" t="str">
            <v>05 - ANULADA EN VIGENCIA</v>
          </cell>
          <cell r="AP3016">
            <v>1234108</v>
          </cell>
        </row>
        <row r="3017">
          <cell r="AE3017" t="str">
            <v>05 - ANULADA EN VIGENCIA</v>
          </cell>
          <cell r="AP3017">
            <v>127984</v>
          </cell>
        </row>
        <row r="3018">
          <cell r="AE3018" t="str">
            <v>05 - ANULADA EN VIGENCIA</v>
          </cell>
          <cell r="AP3018">
            <v>1000265576</v>
          </cell>
        </row>
        <row r="3019">
          <cell r="AE3019" t="str">
            <v>05 - ANULADA EN VIGENCIA</v>
          </cell>
          <cell r="AP3019">
            <v>847460</v>
          </cell>
        </row>
        <row r="3020">
          <cell r="AE3020" t="str">
            <v>05 - ANULADA EN VIGENCIA</v>
          </cell>
          <cell r="AP3020">
            <v>127982</v>
          </cell>
        </row>
        <row r="3021">
          <cell r="AE3021" t="str">
            <v>05 - ANULADA EN VIGENCIA</v>
          </cell>
          <cell r="AP3021">
            <v>1000265572</v>
          </cell>
        </row>
        <row r="3022">
          <cell r="AE3022" t="str">
            <v>05 - ANULADA EN VIGENCIA</v>
          </cell>
          <cell r="AP3022">
            <v>847456</v>
          </cell>
        </row>
        <row r="3023">
          <cell r="AE3023" t="str">
            <v>05 - ANULADA EN VIGENCIA</v>
          </cell>
          <cell r="AP3023">
            <v>127985</v>
          </cell>
        </row>
        <row r="3024">
          <cell r="AE3024" t="str">
            <v>05 - ANULADA EN VIGENCIA</v>
          </cell>
          <cell r="AP3024">
            <v>1000265577</v>
          </cell>
        </row>
        <row r="3025">
          <cell r="AE3025" t="str">
            <v>05 - ANULADA EN VIGENCIA</v>
          </cell>
          <cell r="AP3025">
            <v>847461</v>
          </cell>
        </row>
        <row r="3026">
          <cell r="AE3026" t="str">
            <v>05 - ANULADA EN VIGENCIA</v>
          </cell>
          <cell r="AP3026">
            <v>127983</v>
          </cell>
        </row>
        <row r="3027">
          <cell r="AE3027" t="str">
            <v>05 - ANULADA EN VIGENCIA</v>
          </cell>
          <cell r="AP3027">
            <v>1000265574</v>
          </cell>
        </row>
        <row r="3028">
          <cell r="AE3028" t="str">
            <v>05 - ANULADA EN VIGENCIA</v>
          </cell>
          <cell r="AP3028">
            <v>847458</v>
          </cell>
        </row>
        <row r="3029">
          <cell r="AE3029" t="str">
            <v>04 - NO RENOVADA</v>
          </cell>
          <cell r="AP3029">
            <v>7266586</v>
          </cell>
        </row>
        <row r="3030">
          <cell r="AE3030" t="str">
            <v>05 - ANULADA EN VIGENCIA</v>
          </cell>
          <cell r="AP3030">
            <v>127977</v>
          </cell>
        </row>
        <row r="3031">
          <cell r="AE3031" t="str">
            <v>05 - ANULADA EN VIGENCIA</v>
          </cell>
          <cell r="AP3031">
            <v>1000265565</v>
          </cell>
        </row>
        <row r="3032">
          <cell r="AE3032" t="str">
            <v>05 - ANULADA EN VIGENCIA</v>
          </cell>
          <cell r="AP3032">
            <v>847449</v>
          </cell>
        </row>
        <row r="3033">
          <cell r="AE3033" t="str">
            <v>05 - ANULADA EN VIGENCIA</v>
          </cell>
          <cell r="AP3033">
            <v>17459531</v>
          </cell>
        </row>
        <row r="3034">
          <cell r="AE3034" t="str">
            <v>08 - VIGENCIA ANTERIOR</v>
          </cell>
          <cell r="AP3034">
            <v>2004799610</v>
          </cell>
        </row>
        <row r="3035">
          <cell r="AE3035" t="str">
            <v>08 - VIGENCIA ANTERIOR</v>
          </cell>
          <cell r="AP3035">
            <v>2007684723</v>
          </cell>
        </row>
        <row r="3036">
          <cell r="AE3036" t="str">
            <v>01 - RENOVADA</v>
          </cell>
          <cell r="AP3036">
            <v>2009202715</v>
          </cell>
        </row>
        <row r="3037">
          <cell r="AE3037" t="str">
            <v>01 - RENOVADA</v>
          </cell>
          <cell r="AP3037">
            <v>4004004291</v>
          </cell>
        </row>
        <row r="3038">
          <cell r="AE3038" t="str">
            <v>04 - NO RENOVADA</v>
          </cell>
          <cell r="AP3038">
            <v>85643</v>
          </cell>
        </row>
        <row r="3039">
          <cell r="AE3039" t="str">
            <v>04 - NO RENOVADA</v>
          </cell>
          <cell r="AP3039">
            <v>1178</v>
          </cell>
        </row>
        <row r="3040">
          <cell r="AE3040" t="str">
            <v>04 - NO RENOVADA</v>
          </cell>
          <cell r="AP3040">
            <v>2161</v>
          </cell>
        </row>
        <row r="3041">
          <cell r="AE3041" t="str">
            <v>05 - ANULADA EN VIGENCIA</v>
          </cell>
          <cell r="AP3041">
            <v>1000266679</v>
          </cell>
        </row>
        <row r="3042">
          <cell r="AE3042" t="str">
            <v>05 - ANULADA EN VIGENCIA</v>
          </cell>
          <cell r="AP3042">
            <v>850182</v>
          </cell>
        </row>
        <row r="3043">
          <cell r="AE3043" t="str">
            <v>03 - PENDIENTE</v>
          </cell>
          <cell r="AP3043">
            <v>1000298704</v>
          </cell>
        </row>
        <row r="3044">
          <cell r="AE3044" t="str">
            <v>03 - PENDIENTE</v>
          </cell>
          <cell r="AP3044">
            <v>931138</v>
          </cell>
        </row>
        <row r="3045">
          <cell r="AE3045" t="str">
            <v>05 - ANULADA EN VIGENCIA</v>
          </cell>
          <cell r="AP3045">
            <v>1000256453</v>
          </cell>
        </row>
        <row r="3046">
          <cell r="AE3046" t="str">
            <v>05 - ANULADA EN VIGENCIA</v>
          </cell>
          <cell r="AP3046">
            <v>824447</v>
          </cell>
        </row>
        <row r="3047">
          <cell r="AE3047" t="str">
            <v>05 - ANULADA EN VIGENCIA</v>
          </cell>
          <cell r="AP3047">
            <v>1000279404</v>
          </cell>
        </row>
        <row r="3048">
          <cell r="AE3048" t="str">
            <v>05 - ANULADA EN VIGENCIA</v>
          </cell>
          <cell r="AP3048">
            <v>881852</v>
          </cell>
        </row>
        <row r="3049">
          <cell r="AE3049" t="str">
            <v>04 - NO RENOVADA</v>
          </cell>
          <cell r="AP3049">
            <v>17506491</v>
          </cell>
        </row>
        <row r="3050">
          <cell r="AE3050" t="str">
            <v>04 - NO RENOVADA</v>
          </cell>
          <cell r="AP3050">
            <v>17496748</v>
          </cell>
        </row>
        <row r="3051">
          <cell r="AE3051" t="str">
            <v>05 - ANULADA EN VIGENCIA</v>
          </cell>
          <cell r="AP3051">
            <v>1118153</v>
          </cell>
        </row>
        <row r="3052">
          <cell r="AE3052" t="str">
            <v>04 - NO RENOVADA</v>
          </cell>
          <cell r="AP3052">
            <v>7012400112356</v>
          </cell>
        </row>
        <row r="3053">
          <cell r="AE3053" t="str">
            <v>04 - NO RENOVADA</v>
          </cell>
          <cell r="AP3053">
            <v>7022400140072</v>
          </cell>
        </row>
        <row r="3054">
          <cell r="AE3054" t="str">
            <v>03 - PENDIENTE</v>
          </cell>
          <cell r="AP3054">
            <v>1000298702</v>
          </cell>
        </row>
        <row r="3055">
          <cell r="AE3055" t="str">
            <v>03 - PENDIENTE</v>
          </cell>
          <cell r="AP3055">
            <v>931134</v>
          </cell>
        </row>
        <row r="3056">
          <cell r="AE3056" t="str">
            <v>04 - NO RENOVADA</v>
          </cell>
          <cell r="AP3056" t="str">
            <v>S0334547</v>
          </cell>
        </row>
        <row r="3057">
          <cell r="AE3057" t="str">
            <v>04 - NO RENOVADA</v>
          </cell>
          <cell r="AP3057" t="str">
            <v>S0386819</v>
          </cell>
        </row>
        <row r="3058">
          <cell r="AE3058" t="str">
            <v>04 - NO RENOVADA</v>
          </cell>
          <cell r="AP3058" t="str">
            <v>S0356411</v>
          </cell>
        </row>
        <row r="3059">
          <cell r="AE3059" t="str">
            <v>05 - ANULADA EN VIGENCIA</v>
          </cell>
          <cell r="AP3059">
            <v>128051</v>
          </cell>
        </row>
        <row r="3060">
          <cell r="AE3060" t="str">
            <v>05 - ANULADA EN VIGENCIA</v>
          </cell>
          <cell r="AP3060">
            <v>1000266182</v>
          </cell>
        </row>
        <row r="3061">
          <cell r="AE3061" t="str">
            <v>05 - ANULADA EN VIGENCIA</v>
          </cell>
          <cell r="AP3061">
            <v>848920</v>
          </cell>
        </row>
        <row r="3062">
          <cell r="AE3062" t="str">
            <v>05 - ANULADA EN VIGENCIA</v>
          </cell>
          <cell r="AP3062">
            <v>127988</v>
          </cell>
        </row>
        <row r="3063">
          <cell r="AE3063" t="str">
            <v>05 - ANULADA EN VIGENCIA</v>
          </cell>
          <cell r="AP3063">
            <v>1000265581</v>
          </cell>
        </row>
        <row r="3064">
          <cell r="AE3064" t="str">
            <v>05 - ANULADA EN VIGENCIA</v>
          </cell>
          <cell r="AP3064">
            <v>847465</v>
          </cell>
        </row>
        <row r="3065">
          <cell r="AE3065" t="str">
            <v>05 - ANULADA EN VIGENCIA</v>
          </cell>
          <cell r="AP3065">
            <v>127980</v>
          </cell>
        </row>
        <row r="3066">
          <cell r="AE3066" t="str">
            <v>05 - ANULADA EN VIGENCIA</v>
          </cell>
          <cell r="AP3066">
            <v>1000265570</v>
          </cell>
        </row>
        <row r="3067">
          <cell r="AE3067" t="str">
            <v>05 - ANULADA EN VIGENCIA</v>
          </cell>
          <cell r="AP3067">
            <v>847454</v>
          </cell>
        </row>
        <row r="3068">
          <cell r="AE3068" t="str">
            <v>05 - ANULADA EN VIGENCIA</v>
          </cell>
          <cell r="AP3068">
            <v>127991</v>
          </cell>
        </row>
        <row r="3069">
          <cell r="AE3069" t="str">
            <v>05 - ANULADA EN VIGENCIA</v>
          </cell>
          <cell r="AP3069">
            <v>1000265584</v>
          </cell>
        </row>
        <row r="3070">
          <cell r="AE3070" t="str">
            <v>05 - ANULADA EN VIGENCIA</v>
          </cell>
          <cell r="AP3070">
            <v>847468</v>
          </cell>
        </row>
        <row r="3071">
          <cell r="AE3071" t="str">
            <v>05 - ANULADA EN VIGENCIA</v>
          </cell>
          <cell r="AP3071">
            <v>127981</v>
          </cell>
        </row>
        <row r="3072">
          <cell r="AE3072" t="str">
            <v>05 - ANULADA EN VIGENCIA</v>
          </cell>
          <cell r="AP3072">
            <v>1000265571</v>
          </cell>
        </row>
        <row r="3073">
          <cell r="AE3073" t="str">
            <v>05 - ANULADA EN VIGENCIA</v>
          </cell>
          <cell r="AP3073">
            <v>847455</v>
          </cell>
        </row>
        <row r="3074">
          <cell r="AE3074" t="str">
            <v>05 - ANULADA EN VIGENCIA</v>
          </cell>
          <cell r="AP3074">
            <v>1260801</v>
          </cell>
        </row>
        <row r="3075">
          <cell r="AE3075" t="str">
            <v>05 - ANULADA EN VIGENCIA</v>
          </cell>
          <cell r="AP3075">
            <v>2007071019</v>
          </cell>
        </row>
        <row r="3076">
          <cell r="AE3076" t="str">
            <v>05 - ANULADA EN VIGENCIA</v>
          </cell>
          <cell r="AP3076">
            <v>2007080359</v>
          </cell>
        </row>
        <row r="3077">
          <cell r="AE3077" t="str">
            <v>05 - ANULADA EN VIGENCIA</v>
          </cell>
          <cell r="AP3077">
            <v>127975</v>
          </cell>
        </row>
        <row r="3078">
          <cell r="AE3078" t="str">
            <v>05 - ANULADA EN VIGENCIA</v>
          </cell>
          <cell r="AP3078">
            <v>1000265563</v>
          </cell>
        </row>
        <row r="3079">
          <cell r="AE3079" t="str">
            <v>05 - ANULADA EN VIGENCIA</v>
          </cell>
          <cell r="AP3079">
            <v>847447</v>
          </cell>
        </row>
        <row r="3080">
          <cell r="AE3080" t="str">
            <v>08 - VIGENCIA ANTERIOR</v>
          </cell>
          <cell r="AP3080">
            <v>1087276</v>
          </cell>
        </row>
        <row r="3081">
          <cell r="AE3081" t="str">
            <v>08 - VIGENCIA ANTERIOR</v>
          </cell>
          <cell r="AP3081">
            <v>1298689</v>
          </cell>
        </row>
        <row r="3082">
          <cell r="AE3082" t="str">
            <v>05 - ANULADA EN VIGENCIA</v>
          </cell>
          <cell r="AP3082">
            <v>1463164</v>
          </cell>
        </row>
        <row r="3083">
          <cell r="AE3083" t="str">
            <v>05 - ANULADA EN VIGENCIA</v>
          </cell>
          <cell r="AP3083">
            <v>127978</v>
          </cell>
        </row>
        <row r="3084">
          <cell r="AE3084" t="str">
            <v>05 - ANULADA EN VIGENCIA</v>
          </cell>
          <cell r="AP3084">
            <v>1000265566</v>
          </cell>
        </row>
        <row r="3085">
          <cell r="AE3085" t="str">
            <v>05 - ANULADA EN VIGENCIA</v>
          </cell>
          <cell r="AP3085">
            <v>847450</v>
          </cell>
        </row>
        <row r="3086">
          <cell r="AE3086" t="str">
            <v>05 - ANULADA EN VIGENCIA</v>
          </cell>
          <cell r="AP3086">
            <v>86565</v>
          </cell>
        </row>
        <row r="3087">
          <cell r="AE3087" t="str">
            <v>05 - ANULADA EN VIGENCIA</v>
          </cell>
          <cell r="AP3087">
            <v>2009566779</v>
          </cell>
        </row>
        <row r="3088">
          <cell r="AE3088" t="str">
            <v>05 - ANULADA EN VIGENCIA</v>
          </cell>
          <cell r="AP3088">
            <v>127965</v>
          </cell>
        </row>
        <row r="3089">
          <cell r="AE3089" t="str">
            <v>05 - ANULADA EN VIGENCIA</v>
          </cell>
          <cell r="AP3089">
            <v>1000265573</v>
          </cell>
        </row>
        <row r="3090">
          <cell r="AE3090" t="str">
            <v>05 - ANULADA EN VIGENCIA</v>
          </cell>
          <cell r="AP3090">
            <v>847457</v>
          </cell>
        </row>
        <row r="3091">
          <cell r="AE3091" t="str">
            <v>04 - NO RENOVADA</v>
          </cell>
          <cell r="AP3091">
            <v>1076891</v>
          </cell>
        </row>
        <row r="3092">
          <cell r="AE3092" t="str">
            <v>04 - NO RENOVADA</v>
          </cell>
          <cell r="AP3092">
            <v>2007350378</v>
          </cell>
        </row>
        <row r="3093">
          <cell r="AE3093" t="str">
            <v>05 - ANULADA EN VIGENCIA</v>
          </cell>
          <cell r="AP3093">
            <v>127989</v>
          </cell>
        </row>
        <row r="3094">
          <cell r="AE3094" t="str">
            <v>05 - ANULADA EN VIGENCIA</v>
          </cell>
          <cell r="AP3094">
            <v>1000265582</v>
          </cell>
        </row>
        <row r="3095">
          <cell r="AE3095" t="str">
            <v>05 - ANULADA EN VIGENCIA</v>
          </cell>
          <cell r="AP3095">
            <v>847466</v>
          </cell>
        </row>
        <row r="3096">
          <cell r="AE3096" t="str">
            <v>05 - ANULADA EN VIGENCIA</v>
          </cell>
          <cell r="AP3096">
            <v>127979</v>
          </cell>
        </row>
        <row r="3097">
          <cell r="AE3097" t="str">
            <v>05 - ANULADA EN VIGENCIA</v>
          </cell>
          <cell r="AP3097">
            <v>1000265569</v>
          </cell>
        </row>
        <row r="3098">
          <cell r="AE3098" t="str">
            <v>05 - ANULADA EN VIGENCIA</v>
          </cell>
          <cell r="AP3098">
            <v>847453</v>
          </cell>
        </row>
        <row r="3099">
          <cell r="AE3099" t="str">
            <v>04 - NO RENOVADA</v>
          </cell>
          <cell r="AP3099">
            <v>62094170</v>
          </cell>
        </row>
        <row r="3100">
          <cell r="AE3100" t="str">
            <v>05 - ANULADA EN VIGENCIA</v>
          </cell>
          <cell r="AP3100">
            <v>127987</v>
          </cell>
        </row>
        <row r="3101">
          <cell r="AE3101" t="str">
            <v>05 - ANULADA EN VIGENCIA</v>
          </cell>
          <cell r="AP3101">
            <v>1000265580</v>
          </cell>
        </row>
        <row r="3102">
          <cell r="AE3102" t="str">
            <v>05 - ANULADA EN VIGENCIA</v>
          </cell>
          <cell r="AP3102">
            <v>847464</v>
          </cell>
        </row>
        <row r="3103">
          <cell r="AE3103" t="str">
            <v>05 - ANULADA EN VIGENCIA</v>
          </cell>
          <cell r="AP3103">
            <v>127976</v>
          </cell>
        </row>
        <row r="3104">
          <cell r="AE3104" t="str">
            <v>05 - ANULADA EN VIGENCIA</v>
          </cell>
          <cell r="AP3104">
            <v>1000265564</v>
          </cell>
        </row>
        <row r="3105">
          <cell r="AE3105" t="str">
            <v>05 - ANULADA EN VIGENCIA</v>
          </cell>
          <cell r="AP3105">
            <v>847448</v>
          </cell>
        </row>
        <row r="3106">
          <cell r="AE3106" t="str">
            <v>05 - ANULADA EN VIGENCIA</v>
          </cell>
          <cell r="AP3106">
            <v>814289</v>
          </cell>
        </row>
        <row r="3107">
          <cell r="AE3107" t="str">
            <v>01 - RENOVADA</v>
          </cell>
          <cell r="AP3107">
            <v>16664712</v>
          </cell>
        </row>
        <row r="3108">
          <cell r="AE3108" t="str">
            <v>05 - ANULADA EN VIGENCIA</v>
          </cell>
          <cell r="AP3108">
            <v>128009</v>
          </cell>
        </row>
        <row r="3109">
          <cell r="AE3109" t="str">
            <v>05 - ANULADA EN VIGENCIA</v>
          </cell>
          <cell r="AP3109">
            <v>1000265567</v>
          </cell>
        </row>
        <row r="3110">
          <cell r="AE3110" t="str">
            <v>05 - ANULADA EN VIGENCIA</v>
          </cell>
          <cell r="AP3110">
            <v>847451</v>
          </cell>
        </row>
        <row r="3111">
          <cell r="AE3111" t="str">
            <v>05 - ANULADA EN VIGENCIA</v>
          </cell>
          <cell r="AP3111">
            <v>1000265583</v>
          </cell>
        </row>
        <row r="3112">
          <cell r="AE3112" t="str">
            <v>05 - ANULADA EN VIGENCIA</v>
          </cell>
          <cell r="AP3112">
            <v>847467</v>
          </cell>
        </row>
        <row r="3113">
          <cell r="AE3113" t="str">
            <v>05 - ANULADA EN VIGENCIA</v>
          </cell>
          <cell r="AP3113">
            <v>128003</v>
          </cell>
        </row>
        <row r="3114">
          <cell r="AE3114" t="str">
            <v>05 - ANULADA EN VIGENCIA</v>
          </cell>
          <cell r="AP3114">
            <v>1000265568</v>
          </cell>
        </row>
        <row r="3115">
          <cell r="AE3115" t="str">
            <v>05 - ANULADA EN VIGENCIA</v>
          </cell>
          <cell r="AP3115">
            <v>847452</v>
          </cell>
        </row>
        <row r="3116">
          <cell r="AE3116" t="str">
            <v>05 - ANULADA EN VIGENCIA</v>
          </cell>
          <cell r="AP3116">
            <v>814292</v>
          </cell>
        </row>
        <row r="3117">
          <cell r="AE3117" t="str">
            <v>05 - ANULADA EN VIGENCIA</v>
          </cell>
          <cell r="AP3117">
            <v>127968</v>
          </cell>
        </row>
        <row r="3118">
          <cell r="AE3118" t="str">
            <v>05 - ANULADA EN VIGENCIA</v>
          </cell>
          <cell r="AP3118">
            <v>1000265575</v>
          </cell>
        </row>
        <row r="3119">
          <cell r="AE3119" t="str">
            <v>05 - ANULADA EN VIGENCIA</v>
          </cell>
          <cell r="AP3119">
            <v>847459</v>
          </cell>
        </row>
        <row r="3120">
          <cell r="AE3120" t="str">
            <v>05 - ANULADA EN VIGENCIA</v>
          </cell>
          <cell r="AP3120">
            <v>127971</v>
          </cell>
        </row>
        <row r="3121">
          <cell r="AE3121" t="str">
            <v>05 - ANULADA EN VIGENCIA</v>
          </cell>
          <cell r="AP3121">
            <v>1000265579</v>
          </cell>
        </row>
        <row r="3122">
          <cell r="AE3122" t="str">
            <v>05 - ANULADA EN VIGENCIA</v>
          </cell>
          <cell r="AP3122">
            <v>847463</v>
          </cell>
        </row>
        <row r="3123">
          <cell r="AE3123" t="str">
            <v>01 - RENOVADA</v>
          </cell>
          <cell r="AP3123">
            <v>73670</v>
          </cell>
        </row>
        <row r="3124">
          <cell r="AE3124" t="str">
            <v>05 - ANULADA EN VIGENCIA</v>
          </cell>
          <cell r="AP3124">
            <v>517754</v>
          </cell>
        </row>
        <row r="3125">
          <cell r="AE3125" t="str">
            <v>05 - ANULADA EN VIGENCIA</v>
          </cell>
          <cell r="AP3125">
            <v>6510971</v>
          </cell>
        </row>
        <row r="3126">
          <cell r="AE3126" t="str">
            <v>05 - ANULADA EN VIGENCIA</v>
          </cell>
          <cell r="AP3126">
            <v>6513561</v>
          </cell>
        </row>
        <row r="3127">
          <cell r="AE3127" t="str">
            <v>05 - ANULADA EN VIGENCIA</v>
          </cell>
          <cell r="AP3127">
            <v>10068908</v>
          </cell>
        </row>
        <row r="3128">
          <cell r="AE3128" t="str">
            <v>05 - ANULADA EN VIGENCIA</v>
          </cell>
          <cell r="AP3128">
            <v>333099</v>
          </cell>
        </row>
        <row r="3129">
          <cell r="AE3129" t="str">
            <v>05 - ANULADA EN VIGENCIA</v>
          </cell>
          <cell r="AP3129">
            <v>25823</v>
          </cell>
        </row>
        <row r="3130">
          <cell r="AE3130" t="str">
            <v>05 - ANULADA EN VIGENCIA</v>
          </cell>
          <cell r="AP3130">
            <v>229508</v>
          </cell>
        </row>
        <row r="3131">
          <cell r="AE3131" t="str">
            <v>05 - ANULADA EN VIGENCIA</v>
          </cell>
          <cell r="AP3131">
            <v>229509</v>
          </cell>
        </row>
        <row r="3132">
          <cell r="AE3132" t="str">
            <v>05 - ANULADA EN VIGENCIA</v>
          </cell>
          <cell r="AP3132">
            <v>43423</v>
          </cell>
        </row>
        <row r="3133">
          <cell r="AE3133" t="str">
            <v>05 - ANULADA EN VIGENCIA</v>
          </cell>
          <cell r="AP3133">
            <v>7012100048826</v>
          </cell>
        </row>
        <row r="3134">
          <cell r="AE3134" t="str">
            <v>05 - ANULADA EN VIGENCIA</v>
          </cell>
          <cell r="AP3134">
            <v>7022100057066</v>
          </cell>
        </row>
        <row r="3135">
          <cell r="AE3135" t="str">
            <v>05 - ANULADA EN VIGENCIA</v>
          </cell>
          <cell r="AP3135">
            <v>7027183</v>
          </cell>
        </row>
        <row r="3136">
          <cell r="AE3136" t="str">
            <v>05 - ANULADA EN VIGENCIA</v>
          </cell>
          <cell r="AP3136">
            <v>16656938</v>
          </cell>
        </row>
        <row r="3137">
          <cell r="AE3137" t="str">
            <v>03 - PENDIENTE</v>
          </cell>
          <cell r="AP3137">
            <v>1489151</v>
          </cell>
        </row>
        <row r="3138">
          <cell r="AE3138" t="str">
            <v>05 - ANULADA EN VIGENCIA</v>
          </cell>
          <cell r="AP3138">
            <v>16664352</v>
          </cell>
        </row>
        <row r="3139">
          <cell r="AE3139" t="str">
            <v>05 - ANULADA EN VIGENCIA</v>
          </cell>
          <cell r="AP3139">
            <v>16814623</v>
          </cell>
        </row>
        <row r="3140">
          <cell r="AE3140" t="str">
            <v>01 - RENOVADA</v>
          </cell>
          <cell r="AP3140">
            <v>172758</v>
          </cell>
        </row>
        <row r="3141">
          <cell r="AE3141" t="str">
            <v>01 - RENOVADA</v>
          </cell>
          <cell r="AP3141">
            <v>505356</v>
          </cell>
        </row>
        <row r="3142">
          <cell r="AE3142" t="str">
            <v>01 - RENOVADA</v>
          </cell>
          <cell r="AP3142" t="str">
            <v>E0002616</v>
          </cell>
        </row>
        <row r="3143">
          <cell r="AE3143" t="str">
            <v>05 - ANULADA EN VIGENCIA</v>
          </cell>
          <cell r="AP3143">
            <v>537426</v>
          </cell>
        </row>
        <row r="3144">
          <cell r="AE3144" t="str">
            <v>05 - ANULADA EN VIGENCIA</v>
          </cell>
          <cell r="AP3144">
            <v>502404</v>
          </cell>
        </row>
        <row r="3145">
          <cell r="AE3145" t="str">
            <v>04 - NO RENOVADA</v>
          </cell>
          <cell r="AP3145">
            <v>9518636</v>
          </cell>
        </row>
        <row r="3146">
          <cell r="AE3146" t="str">
            <v>04 - NO RENOVADA</v>
          </cell>
          <cell r="AP3146">
            <v>9518639</v>
          </cell>
        </row>
        <row r="3147">
          <cell r="AE3147" t="str">
            <v>03 - PENDIENTE</v>
          </cell>
          <cell r="AP3147">
            <v>172760</v>
          </cell>
        </row>
        <row r="3148">
          <cell r="AE3148" t="str">
            <v>03 - PENDIENTE</v>
          </cell>
          <cell r="AP3148">
            <v>172763</v>
          </cell>
        </row>
        <row r="3149">
          <cell r="AE3149" t="str">
            <v>03 - PENDIENTE</v>
          </cell>
          <cell r="AP3149">
            <v>234884</v>
          </cell>
        </row>
        <row r="3150">
          <cell r="AE3150" t="str">
            <v>05 - ANULADA EN VIGENCIA</v>
          </cell>
          <cell r="AP3150" t="str">
            <v>P0198182</v>
          </cell>
        </row>
        <row r="3151">
          <cell r="AE3151" t="str">
            <v>05 - ANULADA EN VIGENCIA</v>
          </cell>
          <cell r="AP3151" t="str">
            <v>E0001434</v>
          </cell>
        </row>
        <row r="3152">
          <cell r="AE3152" t="str">
            <v>05 - ANULADA EN VIGENCIA</v>
          </cell>
          <cell r="AP3152">
            <v>35726</v>
          </cell>
        </row>
        <row r="3153">
          <cell r="AE3153" t="str">
            <v>05 - ANULADA EN VIGENCIA</v>
          </cell>
          <cell r="AP3153">
            <v>206135</v>
          </cell>
        </row>
        <row r="3154">
          <cell r="AE3154" t="str">
            <v>01 - RENOVADA</v>
          </cell>
          <cell r="AP3154">
            <v>1300622237</v>
          </cell>
        </row>
        <row r="3155">
          <cell r="AE3155" t="str">
            <v>05 - ANULADA EN VIGENCIA</v>
          </cell>
          <cell r="AP3155">
            <v>1300384686</v>
          </cell>
        </row>
        <row r="3156">
          <cell r="AE3156" t="str">
            <v>01 - RENOVADA</v>
          </cell>
          <cell r="AP3156">
            <v>1300238513</v>
          </cell>
        </row>
        <row r="3157">
          <cell r="AE3157" t="str">
            <v>05 - ANULADA EN VIGENCIA</v>
          </cell>
          <cell r="AP3157">
            <v>6100810100178</v>
          </cell>
        </row>
        <row r="3158">
          <cell r="AE3158" t="str">
            <v>05 - ANULADA EN VIGENCIA</v>
          </cell>
          <cell r="AP3158" t="str">
            <v>P0323390</v>
          </cell>
        </row>
        <row r="3159">
          <cell r="AE3159" t="str">
            <v>05 - ANULADA EN VIGENCIA</v>
          </cell>
          <cell r="AP3159" t="str">
            <v>S0407199</v>
          </cell>
        </row>
        <row r="3160">
          <cell r="AE3160" t="str">
            <v>04 - NO RENOVADA</v>
          </cell>
          <cell r="AP3160">
            <v>7022200054959</v>
          </cell>
        </row>
        <row r="3161">
          <cell r="AE3161" t="str">
            <v>04 - NO RENOVADA</v>
          </cell>
          <cell r="AP3161">
            <v>7012200046912</v>
          </cell>
        </row>
        <row r="3162">
          <cell r="AE3162" t="str">
            <v>04 - NO RENOVADA</v>
          </cell>
          <cell r="AP3162" t="str">
            <v>P0297141</v>
          </cell>
        </row>
        <row r="3163">
          <cell r="AE3163" t="str">
            <v>04 - NO RENOVADA</v>
          </cell>
          <cell r="AP3163" t="str">
            <v>S0366170</v>
          </cell>
        </row>
        <row r="3164">
          <cell r="AE3164" t="str">
            <v>03 - PENDIENTE</v>
          </cell>
          <cell r="AP3164" t="str">
            <v>P0334251</v>
          </cell>
        </row>
        <row r="3165">
          <cell r="AE3165" t="str">
            <v>03 - PENDIENTE</v>
          </cell>
          <cell r="AP3165" t="str">
            <v>S0422977</v>
          </cell>
        </row>
        <row r="3166">
          <cell r="AE3166" t="str">
            <v>01 - RENOVADA</v>
          </cell>
          <cell r="AP3166">
            <v>70236083</v>
          </cell>
        </row>
        <row r="3167">
          <cell r="AE3167" t="str">
            <v>01 - RENOVADA</v>
          </cell>
          <cell r="AP3167">
            <v>528906</v>
          </cell>
        </row>
        <row r="3168">
          <cell r="AE3168" t="str">
            <v>01 - RENOVADA</v>
          </cell>
          <cell r="AP3168">
            <v>527347</v>
          </cell>
        </row>
        <row r="3169">
          <cell r="AE3169" t="str">
            <v>04 - NO RENOVADA</v>
          </cell>
          <cell r="AP3169">
            <v>6601105</v>
          </cell>
        </row>
        <row r="3170">
          <cell r="AE3170" t="str">
            <v>04 - NO RENOVADA</v>
          </cell>
          <cell r="AP3170">
            <v>7530658</v>
          </cell>
        </row>
        <row r="3171">
          <cell r="AE3171" t="str">
            <v>04 - NO RENOVADA</v>
          </cell>
          <cell r="AP3171">
            <v>8216780</v>
          </cell>
        </row>
        <row r="3172">
          <cell r="AE3172" t="str">
            <v>04 - NO RENOVADA</v>
          </cell>
          <cell r="AP3172" t="str">
            <v>P0310028</v>
          </cell>
        </row>
        <row r="3173">
          <cell r="AE3173" t="str">
            <v>04 - NO RENOVADA</v>
          </cell>
          <cell r="AP3173" t="str">
            <v>S0387127</v>
          </cell>
        </row>
        <row r="3174">
          <cell r="AE3174" t="str">
            <v>03 - PENDIENTE</v>
          </cell>
          <cell r="AP3174">
            <v>9430658</v>
          </cell>
        </row>
        <row r="3175">
          <cell r="AE3175" t="str">
            <v>08 - VIGENCIA ANTERIOR</v>
          </cell>
          <cell r="AP3175">
            <v>7482</v>
          </cell>
        </row>
        <row r="3176">
          <cell r="AE3176" t="str">
            <v>01 - RENOVADA</v>
          </cell>
          <cell r="AP3176">
            <v>10799</v>
          </cell>
        </row>
        <row r="3177">
          <cell r="AE3177" t="str">
            <v>07 - DEVUELTO A AON</v>
          </cell>
          <cell r="AP3177">
            <v>8481606</v>
          </cell>
        </row>
        <row r="3178">
          <cell r="AE3178" t="str">
            <v>07 - DEVUELTO A AON</v>
          </cell>
          <cell r="AP3178">
            <v>7800931</v>
          </cell>
        </row>
        <row r="3179">
          <cell r="AE3179" t="str">
            <v>07 - DEVUELTO A AON</v>
          </cell>
          <cell r="AP3179">
            <v>1232561</v>
          </cell>
        </row>
        <row r="3180">
          <cell r="AE3180" t="str">
            <v>07 - DEVUELTO A AON</v>
          </cell>
          <cell r="AP3180">
            <v>7816987</v>
          </cell>
        </row>
        <row r="3181">
          <cell r="AE3181" t="str">
            <v>07 - DEVUELTO A AON</v>
          </cell>
          <cell r="AP3181">
            <v>7817002</v>
          </cell>
        </row>
        <row r="3182">
          <cell r="AE3182" t="str">
            <v>07 - DEVUELTO A AON</v>
          </cell>
          <cell r="AP3182">
            <v>7817017</v>
          </cell>
        </row>
        <row r="3183">
          <cell r="AE3183" t="str">
            <v>07 - DEVUELTO A AON</v>
          </cell>
          <cell r="AP3183">
            <v>7817028</v>
          </cell>
        </row>
        <row r="3184">
          <cell r="AE3184" t="str">
            <v>07 - DEVUELTO A AON</v>
          </cell>
          <cell r="AP3184">
            <v>7817038</v>
          </cell>
        </row>
        <row r="3185">
          <cell r="AE3185" t="str">
            <v>07 - DEVUELTO A AON</v>
          </cell>
          <cell r="AP3185">
            <v>7817047</v>
          </cell>
        </row>
        <row r="3186">
          <cell r="AE3186" t="str">
            <v>07 - DEVUELTO A AON</v>
          </cell>
          <cell r="AP3186">
            <v>1038100</v>
          </cell>
        </row>
        <row r="3187">
          <cell r="AE3187" t="str">
            <v>07 - DEVUELTO A AON</v>
          </cell>
          <cell r="AP3187">
            <v>7846787</v>
          </cell>
        </row>
        <row r="3188">
          <cell r="AE3188" t="str">
            <v>07 - DEVUELTO A AON</v>
          </cell>
          <cell r="AP3188">
            <v>7846792</v>
          </cell>
        </row>
        <row r="3189">
          <cell r="AE3189" t="str">
            <v>07 - DEVUELTO A AON</v>
          </cell>
          <cell r="AP3189">
            <v>7846796</v>
          </cell>
        </row>
        <row r="3190">
          <cell r="AE3190" t="str">
            <v>07 - DEVUELTO A AON</v>
          </cell>
          <cell r="AP3190">
            <v>528880</v>
          </cell>
        </row>
        <row r="3191">
          <cell r="AE3191" t="str">
            <v>07 - DEVUELTO A AON</v>
          </cell>
          <cell r="AP3191">
            <v>530615</v>
          </cell>
        </row>
        <row r="3192">
          <cell r="AE3192" t="str">
            <v>07 - DEVUELTO A AON</v>
          </cell>
          <cell r="AP3192">
            <v>530197</v>
          </cell>
        </row>
        <row r="3193">
          <cell r="AE3193" t="str">
            <v>07 - DEVUELTO A AON</v>
          </cell>
          <cell r="AP3193">
            <v>507033</v>
          </cell>
        </row>
        <row r="3194">
          <cell r="AE3194" t="str">
            <v>07 - DEVUELTO A AON</v>
          </cell>
          <cell r="AP3194">
            <v>506294</v>
          </cell>
        </row>
        <row r="3195">
          <cell r="AE3195" t="str">
            <v>07 - DEVUELTO A AON</v>
          </cell>
          <cell r="AP3195">
            <v>504782</v>
          </cell>
        </row>
        <row r="3196">
          <cell r="AE3196" t="str">
            <v>07 - DEVUELTO A AON</v>
          </cell>
          <cell r="AP3196">
            <v>1257153</v>
          </cell>
        </row>
        <row r="3197">
          <cell r="AE3197" t="str">
            <v>07 - DEVUELTO A AON</v>
          </cell>
          <cell r="AP3197">
            <v>7884024</v>
          </cell>
        </row>
        <row r="3198">
          <cell r="AE3198" t="str">
            <v>07 - DEVUELTO A AON</v>
          </cell>
          <cell r="AP3198">
            <v>7884025</v>
          </cell>
        </row>
        <row r="3199">
          <cell r="AE3199" t="str">
            <v>07 - DEVUELTO A AON</v>
          </cell>
          <cell r="AP3199">
            <v>7884026</v>
          </cell>
        </row>
        <row r="3200">
          <cell r="AE3200" t="str">
            <v>07 - DEVUELTO A AON</v>
          </cell>
          <cell r="AP3200">
            <v>7884027</v>
          </cell>
        </row>
        <row r="3201">
          <cell r="AE3201" t="str">
            <v>07 - DEVUELTO A AON</v>
          </cell>
          <cell r="AP3201">
            <v>7884028</v>
          </cell>
        </row>
        <row r="3202">
          <cell r="AE3202" t="str">
            <v>07 - DEVUELTO A AON</v>
          </cell>
          <cell r="AP3202">
            <v>7884029</v>
          </cell>
        </row>
        <row r="3203">
          <cell r="AE3203" t="str">
            <v>07 - DEVUELTO A AON</v>
          </cell>
          <cell r="AP3203">
            <v>7884030</v>
          </cell>
        </row>
        <row r="3204">
          <cell r="AE3204" t="str">
            <v>07 - DEVUELTO A AON</v>
          </cell>
          <cell r="AP3204">
            <v>7884031</v>
          </cell>
        </row>
        <row r="3205">
          <cell r="AE3205" t="str">
            <v>07 - DEVUELTO A AON</v>
          </cell>
          <cell r="AP3205">
            <v>7884032</v>
          </cell>
        </row>
        <row r="3206">
          <cell r="AE3206" t="str">
            <v>07 - DEVUELTO A AON</v>
          </cell>
          <cell r="AP3206">
            <v>7884033</v>
          </cell>
        </row>
        <row r="3207">
          <cell r="AE3207" t="str">
            <v>07 - DEVUELTO A AON</v>
          </cell>
          <cell r="AP3207">
            <v>7884034</v>
          </cell>
        </row>
        <row r="3208">
          <cell r="AE3208" t="str">
            <v>07 - DEVUELTO A AON</v>
          </cell>
          <cell r="AP3208">
            <v>7884035</v>
          </cell>
        </row>
        <row r="3209">
          <cell r="AE3209" t="str">
            <v>07 - DEVUELTO A AON</v>
          </cell>
          <cell r="AP3209">
            <v>7884036</v>
          </cell>
        </row>
        <row r="3210">
          <cell r="AE3210" t="str">
            <v>07 - DEVUELTO A AON</v>
          </cell>
          <cell r="AP3210">
            <v>7884037</v>
          </cell>
        </row>
        <row r="3211">
          <cell r="AE3211" t="str">
            <v>07 - DEVUELTO A AON</v>
          </cell>
          <cell r="AP3211">
            <v>7918187</v>
          </cell>
        </row>
        <row r="3212">
          <cell r="AE3212" t="str">
            <v>07 - DEVUELTO A AON</v>
          </cell>
          <cell r="AP3212">
            <v>8042418</v>
          </cell>
        </row>
        <row r="3213">
          <cell r="AE3213" t="str">
            <v>07 - DEVUELTO A AON</v>
          </cell>
          <cell r="AP3213">
            <v>8190273</v>
          </cell>
        </row>
        <row r="3214">
          <cell r="AE3214" t="str">
            <v>07 - DEVUELTO A AON</v>
          </cell>
          <cell r="AP3214">
            <v>8190244</v>
          </cell>
        </row>
        <row r="3215">
          <cell r="AE3215" t="str">
            <v>07 - DEVUELTO A AON</v>
          </cell>
          <cell r="AP3215">
            <v>8190254</v>
          </cell>
        </row>
        <row r="3216">
          <cell r="AE3216" t="str">
            <v>07 - DEVUELTO A AON</v>
          </cell>
          <cell r="AP3216">
            <v>8190259</v>
          </cell>
        </row>
        <row r="3217">
          <cell r="AE3217" t="str">
            <v>07 - DEVUELTO A AON</v>
          </cell>
          <cell r="AP3217">
            <v>8190261</v>
          </cell>
        </row>
        <row r="3218">
          <cell r="AE3218" t="str">
            <v>07 - DEVUELTO A AON</v>
          </cell>
          <cell r="AP3218">
            <v>8190262</v>
          </cell>
        </row>
        <row r="3219">
          <cell r="AE3219" t="str">
            <v>07 - DEVUELTO A AON</v>
          </cell>
          <cell r="AP3219">
            <v>8190268</v>
          </cell>
        </row>
        <row r="3220">
          <cell r="AE3220" t="str">
            <v>07 - DEVUELTO A AON</v>
          </cell>
          <cell r="AP3220">
            <v>8190272</v>
          </cell>
        </row>
        <row r="3221">
          <cell r="AE3221" t="str">
            <v>07 - DEVUELTO A AON</v>
          </cell>
          <cell r="AP3221">
            <v>8214737</v>
          </cell>
        </row>
        <row r="3222">
          <cell r="AE3222" t="str">
            <v>07 - DEVUELTO A AON</v>
          </cell>
          <cell r="AP3222">
            <v>8230326</v>
          </cell>
        </row>
        <row r="3223">
          <cell r="AE3223" t="str">
            <v>07 - DEVUELTO A AON</v>
          </cell>
          <cell r="AP3223">
            <v>8230339</v>
          </cell>
        </row>
        <row r="3224">
          <cell r="AE3224" t="str">
            <v>07 - DEVUELTO A AON</v>
          </cell>
          <cell r="AP3224">
            <v>8230345</v>
          </cell>
        </row>
        <row r="3225">
          <cell r="AE3225" t="str">
            <v>07 - DEVUELTO A AON</v>
          </cell>
          <cell r="AP3225">
            <v>8230352</v>
          </cell>
        </row>
        <row r="3226">
          <cell r="AE3226" t="str">
            <v>07 - DEVUELTO A AON</v>
          </cell>
          <cell r="AP3226">
            <v>8230354</v>
          </cell>
        </row>
        <row r="3227">
          <cell r="AE3227" t="str">
            <v>07 - DEVUELTO A AON</v>
          </cell>
          <cell r="AP3227">
            <v>8230360</v>
          </cell>
        </row>
        <row r="3228">
          <cell r="AE3228" t="str">
            <v>07 - DEVUELTO A AON</v>
          </cell>
          <cell r="AP3228">
            <v>8230369</v>
          </cell>
        </row>
        <row r="3229">
          <cell r="AE3229" t="str">
            <v>05 - ANULADA EN VIGENCIA</v>
          </cell>
          <cell r="AP3229">
            <v>112945</v>
          </cell>
        </row>
        <row r="3230">
          <cell r="AE3230" t="str">
            <v>05 - ANULADA EN VIGENCIA</v>
          </cell>
          <cell r="AP3230">
            <v>62086259</v>
          </cell>
        </row>
        <row r="3231">
          <cell r="AE3231" t="str">
            <v>05 - ANULADA EN VIGENCIA</v>
          </cell>
          <cell r="AP3231">
            <v>20170</v>
          </cell>
        </row>
        <row r="3232">
          <cell r="AE3232" t="str">
            <v>05 - ANULADA EN VIGENCIA</v>
          </cell>
          <cell r="AP3232">
            <v>7011459900047</v>
          </cell>
        </row>
        <row r="3233">
          <cell r="AE3233" t="str">
            <v>05 - ANULADA EN VIGENCIA</v>
          </cell>
          <cell r="AP3233">
            <v>7021459900022</v>
          </cell>
        </row>
        <row r="3234">
          <cell r="AE3234" t="str">
            <v>05 - ANULADA EN VIGENCIA</v>
          </cell>
          <cell r="AP3234">
            <v>6102010102638</v>
          </cell>
        </row>
        <row r="3235">
          <cell r="AE3235" t="str">
            <v>05 - ANULADA EN VIGENCIA</v>
          </cell>
          <cell r="AP3235">
            <v>62070036</v>
          </cell>
        </row>
        <row r="3236">
          <cell r="AE3236" t="str">
            <v>05 - ANULADA EN VIGENCIA</v>
          </cell>
          <cell r="AP3236">
            <v>2520910100027</v>
          </cell>
        </row>
        <row r="3237">
          <cell r="AE3237" t="str">
            <v>05 - ANULADA EN VIGENCIA</v>
          </cell>
          <cell r="AP3237">
            <v>2031510100021</v>
          </cell>
        </row>
        <row r="3238">
          <cell r="AE3238" t="str">
            <v>05 - ANULADA EN VIGENCIA</v>
          </cell>
          <cell r="AP3238">
            <v>2220959900001</v>
          </cell>
        </row>
        <row r="3239">
          <cell r="AE3239" t="str">
            <v>05 - ANULADA EN VIGENCIA</v>
          </cell>
          <cell r="AP3239">
            <v>2401959903003</v>
          </cell>
        </row>
        <row r="3240">
          <cell r="AE3240" t="str">
            <v>05 - ANULADA EN VIGENCIA</v>
          </cell>
          <cell r="AP3240">
            <v>2501810100002</v>
          </cell>
        </row>
        <row r="3241">
          <cell r="AE3241" t="str">
            <v>05 - ANULADA EN VIGENCIA</v>
          </cell>
          <cell r="AP3241">
            <v>3011500004066</v>
          </cell>
        </row>
        <row r="3242">
          <cell r="AE3242" t="str">
            <v>05 - ANULADA EN VIGENCIA</v>
          </cell>
          <cell r="AP3242" t="str">
            <v>S/N</v>
          </cell>
        </row>
        <row r="3243">
          <cell r="AE3243" t="str">
            <v>03 - PENDIENTE</v>
          </cell>
          <cell r="AP3243">
            <v>612164168</v>
          </cell>
        </row>
        <row r="3244">
          <cell r="AE3244" t="str">
            <v>03 - PENDIENTE</v>
          </cell>
          <cell r="AP3244">
            <v>126806</v>
          </cell>
        </row>
        <row r="3245">
          <cell r="AE3245" t="str">
            <v>03 - PENDIENTE</v>
          </cell>
          <cell r="AP3245">
            <v>62099186</v>
          </cell>
        </row>
        <row r="3246">
          <cell r="AE3246" t="str">
            <v>05 - ANULADA EN VIGENCIA</v>
          </cell>
          <cell r="AP3246">
            <v>7012200003034</v>
          </cell>
        </row>
        <row r="3247">
          <cell r="AE3247" t="str">
            <v>05 - ANULADA EN VIGENCIA</v>
          </cell>
          <cell r="AP3247">
            <v>7022200003502</v>
          </cell>
        </row>
        <row r="3248">
          <cell r="AE3248" t="str">
            <v>05 - ANULADA EN VIGENCIA</v>
          </cell>
          <cell r="AP3248">
            <v>21080</v>
          </cell>
        </row>
        <row r="3249">
          <cell r="AE3249" t="str">
            <v>05 - ANULADA EN VIGENCIA</v>
          </cell>
          <cell r="AP3249">
            <v>23751</v>
          </cell>
        </row>
        <row r="3250">
          <cell r="AE3250" t="str">
            <v>04 - NO RENOVADA</v>
          </cell>
          <cell r="AP3250">
            <v>21</v>
          </cell>
        </row>
        <row r="3251">
          <cell r="AE3251" t="str">
            <v>04 - NO RENOVADA</v>
          </cell>
          <cell r="AP3251">
            <v>20761355</v>
          </cell>
        </row>
        <row r="3252">
          <cell r="AE3252" t="str">
            <v>04 - NO RENOVADA</v>
          </cell>
          <cell r="AP3252">
            <v>21000241</v>
          </cell>
        </row>
        <row r="3253">
          <cell r="AE3253" t="str">
            <v>05 - ANULADA EN VIGENCIA</v>
          </cell>
          <cell r="AP3253">
            <v>42055</v>
          </cell>
        </row>
        <row r="3254">
          <cell r="AE3254" t="str">
            <v>05 - ANULADA EN VIGENCIA</v>
          </cell>
          <cell r="AP3254">
            <v>28605634</v>
          </cell>
        </row>
        <row r="3255">
          <cell r="AE3255" t="str">
            <v>05 - ANULADA EN VIGENCIA</v>
          </cell>
          <cell r="AP3255">
            <v>2001106129</v>
          </cell>
        </row>
        <row r="3256">
          <cell r="AE3256" t="str">
            <v>03 - PENDIENTE</v>
          </cell>
          <cell r="AP3256">
            <v>109455</v>
          </cell>
        </row>
        <row r="3257">
          <cell r="AE3257" t="str">
            <v>03 - PENDIENTE</v>
          </cell>
          <cell r="AP3257">
            <v>62082214</v>
          </cell>
        </row>
        <row r="3258">
          <cell r="AE3258" t="str">
            <v>05 - ANULADA EN VIGENCIA</v>
          </cell>
          <cell r="AP3258">
            <v>224716</v>
          </cell>
        </row>
        <row r="3259">
          <cell r="AE3259" t="str">
            <v>05 - ANULADA EN VIGENCIA</v>
          </cell>
          <cell r="AP3259">
            <v>220013123</v>
          </cell>
        </row>
        <row r="3260">
          <cell r="AE3260" t="str">
            <v>05 - ANULADA EN VIGENCIA</v>
          </cell>
          <cell r="AP3260">
            <v>220013125</v>
          </cell>
        </row>
        <row r="3261">
          <cell r="AE3261" t="str">
            <v>01 - RENOVADA</v>
          </cell>
          <cell r="AP3261" t="str">
            <v>E0001944</v>
          </cell>
        </row>
        <row r="3262">
          <cell r="AE3262" t="str">
            <v>02 - EN PROCESO</v>
          </cell>
          <cell r="AP3262">
            <v>45586</v>
          </cell>
        </row>
        <row r="3263">
          <cell r="AE3263" t="str">
            <v>01 - RENOVADA</v>
          </cell>
          <cell r="AP3263">
            <v>10171</v>
          </cell>
        </row>
        <row r="3264">
          <cell r="AE3264" t="str">
            <v>01 - RENOVADA</v>
          </cell>
          <cell r="AP3264" t="str">
            <v>0001836 </v>
          </cell>
        </row>
        <row r="3265">
          <cell r="AE3265" t="str">
            <v>03 - PENDIENTE</v>
          </cell>
          <cell r="AP3265">
            <v>44936720</v>
          </cell>
        </row>
        <row r="3266">
          <cell r="AE3266" t="str">
            <v>03 - PENDIENTE</v>
          </cell>
          <cell r="AP3266">
            <v>44936820</v>
          </cell>
        </row>
        <row r="3267">
          <cell r="AE3267" t="str">
            <v>05 - ANULADA EN VIGENCIA</v>
          </cell>
          <cell r="AP3267">
            <v>44936720</v>
          </cell>
        </row>
        <row r="3268">
          <cell r="AE3268" t="str">
            <v>05 - ANULADA EN VIGENCIA</v>
          </cell>
          <cell r="AP3268">
            <v>108024</v>
          </cell>
        </row>
        <row r="3269">
          <cell r="AE3269" t="str">
            <v>05 - ANULADA EN VIGENCIA</v>
          </cell>
          <cell r="AP3269">
            <v>106826</v>
          </cell>
        </row>
        <row r="3270">
          <cell r="AE3270" t="str">
            <v>05 - ANULADA EN VIGENCIA</v>
          </cell>
          <cell r="AP3270">
            <v>62079989</v>
          </cell>
        </row>
        <row r="3271">
          <cell r="AE3271" t="str">
            <v>05 - ANULADA EN VIGENCIA</v>
          </cell>
          <cell r="AP3271">
            <v>206007</v>
          </cell>
        </row>
        <row r="3272">
          <cell r="AE3272" t="str">
            <v>05 - ANULADA EN VIGENCIA</v>
          </cell>
          <cell r="AP3272">
            <v>206008</v>
          </cell>
        </row>
        <row r="3273">
          <cell r="AE3273" t="str">
            <v>01 - RENOVADA</v>
          </cell>
          <cell r="AP3273">
            <v>1300365290</v>
          </cell>
        </row>
        <row r="3274">
          <cell r="AE3274" t="str">
            <v>08 - VIGENCIA ANTERIOR</v>
          </cell>
          <cell r="AP3274">
            <v>1019839</v>
          </cell>
        </row>
        <row r="3275">
          <cell r="AE3275" t="str">
            <v>01 - RENOVADA</v>
          </cell>
          <cell r="AP3275">
            <v>1492043</v>
          </cell>
        </row>
        <row r="3276">
          <cell r="AE3276" t="str">
            <v>01 - RENOVADA</v>
          </cell>
          <cell r="AP3276">
            <v>1508334</v>
          </cell>
        </row>
        <row r="3277">
          <cell r="AE3277" t="str">
            <v>05 - ANULADA EN VIGENCIA</v>
          </cell>
          <cell r="AP3277">
            <v>754628</v>
          </cell>
        </row>
        <row r="3278">
          <cell r="AE3278" t="str">
            <v>05 - ANULADA EN VIGENCIA</v>
          </cell>
          <cell r="AP3278">
            <v>757055</v>
          </cell>
        </row>
        <row r="3279">
          <cell r="AE3279" t="str">
            <v>05 - ANULADA EN VIGENCIA</v>
          </cell>
          <cell r="AP3279">
            <v>1018035</v>
          </cell>
        </row>
        <row r="3280">
          <cell r="AE3280" t="str">
            <v>05 - ANULADA EN VIGENCIA</v>
          </cell>
          <cell r="AP3280">
            <v>1018042</v>
          </cell>
        </row>
        <row r="3281">
          <cell r="AE3281" t="str">
            <v>05 - ANULADA EN VIGENCIA</v>
          </cell>
          <cell r="AP3281">
            <v>1018048</v>
          </cell>
        </row>
        <row r="3282">
          <cell r="AE3282" t="str">
            <v>04 - NO RENOVADA</v>
          </cell>
          <cell r="AP3282">
            <v>220020684</v>
          </cell>
        </row>
        <row r="3283">
          <cell r="AE3283" t="str">
            <v>05 - ANULADA EN VIGENCIA</v>
          </cell>
          <cell r="AP3283">
            <v>7012200001269</v>
          </cell>
        </row>
        <row r="3284">
          <cell r="AE3284" t="str">
            <v>05 - ANULADA EN VIGENCIA</v>
          </cell>
          <cell r="AP3284">
            <v>7022200001443</v>
          </cell>
        </row>
        <row r="3285">
          <cell r="AE3285" t="str">
            <v>04 - NO RENOVADA</v>
          </cell>
          <cell r="AP3285">
            <v>16654801</v>
          </cell>
        </row>
        <row r="3286">
          <cell r="AE3286" t="str">
            <v>05 - ANULADA EN VIGENCIA</v>
          </cell>
          <cell r="AP3286">
            <v>20777</v>
          </cell>
        </row>
        <row r="3287">
          <cell r="AE3287" t="str">
            <v>05 - ANULADA EN VIGENCIA</v>
          </cell>
          <cell r="AP3287">
            <v>38467</v>
          </cell>
        </row>
        <row r="3288">
          <cell r="AE3288" t="str">
            <v>05 - ANULADA EN VIGENCIA</v>
          </cell>
          <cell r="AP3288">
            <v>49059</v>
          </cell>
        </row>
        <row r="3289">
          <cell r="AE3289" t="str">
            <v>05 - ANULADA EN VIGENCIA</v>
          </cell>
          <cell r="AP3289">
            <v>2005728053</v>
          </cell>
        </row>
        <row r="3290">
          <cell r="AE3290" t="str">
            <v>05 - ANULADA EN VIGENCIA</v>
          </cell>
          <cell r="AP3290" t="str">
            <v>2005728053  </v>
          </cell>
        </row>
        <row r="3291">
          <cell r="AE3291" t="str">
            <v>05 - ANULADA EN VIGENCIA</v>
          </cell>
          <cell r="AP3291">
            <v>2005728042</v>
          </cell>
        </row>
        <row r="3292">
          <cell r="AE3292" t="str">
            <v>05 - ANULADA EN VIGENCIA</v>
          </cell>
          <cell r="AP3292">
            <v>2007047362</v>
          </cell>
        </row>
        <row r="3293">
          <cell r="AE3293" t="str">
            <v>05 - ANULADA EN VIGENCIA</v>
          </cell>
          <cell r="AP3293">
            <v>2007047361</v>
          </cell>
        </row>
        <row r="3294">
          <cell r="AE3294" t="str">
            <v>08 - VIGENCIA ANTERIOR</v>
          </cell>
          <cell r="AP3294">
            <v>7463</v>
          </cell>
        </row>
        <row r="3295">
          <cell r="AE3295" t="str">
            <v>05 - ANULADA EN VIGENCIA</v>
          </cell>
          <cell r="AP3295">
            <v>1007888852</v>
          </cell>
        </row>
        <row r="3296">
          <cell r="AE3296" t="str">
            <v>04 - NO RENOVADA</v>
          </cell>
          <cell r="AP3296">
            <v>220015966</v>
          </cell>
        </row>
        <row r="3297">
          <cell r="AE3297" t="str">
            <v>05 - ANULADA EN VIGENCIA</v>
          </cell>
          <cell r="AP3297" t="str">
            <v>E0019562</v>
          </cell>
        </row>
        <row r="3298">
          <cell r="AE3298" t="str">
            <v>05 - ANULADA EN VIGENCIA</v>
          </cell>
          <cell r="AP3298">
            <v>7257988</v>
          </cell>
        </row>
        <row r="3299">
          <cell r="AE3299" t="str">
            <v>05 - ANULADA EN VIGENCIA</v>
          </cell>
          <cell r="AP3299">
            <v>7258003</v>
          </cell>
        </row>
        <row r="3300">
          <cell r="AE3300" t="str">
            <v>05 - ANULADA EN VIGENCIA</v>
          </cell>
          <cell r="AP3300">
            <v>7258010</v>
          </cell>
        </row>
        <row r="3301">
          <cell r="AE3301" t="str">
            <v>05 - ANULADA EN VIGENCIA</v>
          </cell>
          <cell r="AP3301">
            <v>7274739</v>
          </cell>
        </row>
        <row r="3302">
          <cell r="AE3302" t="str">
            <v>05 - ANULADA EN VIGENCIA</v>
          </cell>
          <cell r="AP3302">
            <v>7274768</v>
          </cell>
        </row>
        <row r="3303">
          <cell r="AE3303" t="str">
            <v>05 - ANULADA EN VIGENCIA</v>
          </cell>
          <cell r="AP3303">
            <v>1010586589</v>
          </cell>
        </row>
        <row r="3304">
          <cell r="AE3304" t="str">
            <v>05 - ANULADA EN VIGENCIA</v>
          </cell>
          <cell r="AP3304">
            <v>8079867</v>
          </cell>
        </row>
        <row r="3305">
          <cell r="AE3305" t="str">
            <v>05 - ANULADA EN VIGENCIA</v>
          </cell>
          <cell r="AP3305">
            <v>8079882</v>
          </cell>
        </row>
        <row r="3306">
          <cell r="AE3306" t="str">
            <v>05 - ANULADA EN VIGENCIA</v>
          </cell>
          <cell r="AP3306">
            <v>8079891</v>
          </cell>
        </row>
        <row r="3307">
          <cell r="AE3307" t="str">
            <v>05 - ANULADA EN VIGENCIA</v>
          </cell>
          <cell r="AP3307">
            <v>8079897</v>
          </cell>
        </row>
        <row r="3308">
          <cell r="AE3308" t="str">
            <v>05 - ANULADA EN VIGENCIA</v>
          </cell>
          <cell r="AP3308">
            <v>8079902</v>
          </cell>
        </row>
        <row r="3309">
          <cell r="AE3309" t="str">
            <v>08 - VIGENCIA ANTERIOR</v>
          </cell>
          <cell r="AP3309">
            <v>8453</v>
          </cell>
        </row>
        <row r="3310">
          <cell r="AE3310" t="str">
            <v>05 - ANULADA EN VIGENCIA</v>
          </cell>
          <cell r="AP3310">
            <v>8453</v>
          </cell>
        </row>
        <row r="3311">
          <cell r="AE3311" t="str">
            <v>05 - ANULADA EN VIGENCIA</v>
          </cell>
          <cell r="AP3311">
            <v>507037</v>
          </cell>
        </row>
        <row r="3312">
          <cell r="AE3312" t="str">
            <v>08 - VIGENCIA ANTERIOR</v>
          </cell>
          <cell r="AP3312">
            <v>2007167114</v>
          </cell>
        </row>
        <row r="3313">
          <cell r="AE3313" t="str">
            <v>05 - ANULADA EN VIGENCIA</v>
          </cell>
          <cell r="AP3313">
            <v>2008501258</v>
          </cell>
        </row>
        <row r="3314">
          <cell r="AE3314" t="str">
            <v>01 - RENOVADA</v>
          </cell>
          <cell r="AP3314">
            <v>2006249406</v>
          </cell>
        </row>
        <row r="3315">
          <cell r="AE3315" t="str">
            <v>05 - ANULADA EN VIGENCIA</v>
          </cell>
          <cell r="AP3315">
            <v>1307031</v>
          </cell>
        </row>
        <row r="3316">
          <cell r="AE3316" t="str">
            <v>08 - VIGENCIA ANTERIOR</v>
          </cell>
          <cell r="AP3316">
            <v>1389285</v>
          </cell>
        </row>
        <row r="3317">
          <cell r="AE3317" t="str">
            <v>03 - PENDIENTE</v>
          </cell>
          <cell r="AP3317">
            <v>1481664</v>
          </cell>
        </row>
        <row r="3318">
          <cell r="AE3318" t="str">
            <v>04 - NO RENOVADA</v>
          </cell>
          <cell r="AP3318">
            <v>1000224495</v>
          </cell>
        </row>
        <row r="3319">
          <cell r="AE3319" t="str">
            <v>04 - NO RENOVADA</v>
          </cell>
          <cell r="AP3319">
            <v>744035</v>
          </cell>
        </row>
        <row r="3320">
          <cell r="AE3320" t="str">
            <v>05 - ANULADA EN VIGENCIA</v>
          </cell>
          <cell r="AP3320">
            <v>7011800000173</v>
          </cell>
        </row>
        <row r="3321">
          <cell r="AE3321" t="str">
            <v>05 - ANULADA EN VIGENCIA</v>
          </cell>
          <cell r="AP3321">
            <v>7021800000208</v>
          </cell>
        </row>
        <row r="3322">
          <cell r="AE3322" t="str">
            <v>04 - NO RENOVADA</v>
          </cell>
          <cell r="AP3322">
            <v>17182397</v>
          </cell>
        </row>
        <row r="3323">
          <cell r="AE3323" t="str">
            <v>04 - NO RENOVADA</v>
          </cell>
          <cell r="AP3323">
            <v>17182398</v>
          </cell>
        </row>
        <row r="3324">
          <cell r="AE3324" t="str">
            <v>04 - NO RENOVADA</v>
          </cell>
          <cell r="AP3324">
            <v>17182400</v>
          </cell>
        </row>
        <row r="3325">
          <cell r="AE3325" t="str">
            <v>05 - ANULADA EN VIGENCIA</v>
          </cell>
          <cell r="AP3325">
            <v>1263704</v>
          </cell>
        </row>
        <row r="3326">
          <cell r="AE3326" t="str">
            <v>05 - ANULADA EN VIGENCIA</v>
          </cell>
          <cell r="AP3326">
            <v>1373487</v>
          </cell>
        </row>
        <row r="3327">
          <cell r="AE3327" t="str">
            <v>05 - ANULADA EN VIGENCIA</v>
          </cell>
          <cell r="AP3327">
            <v>70115150</v>
          </cell>
        </row>
        <row r="3328">
          <cell r="AE3328" t="str">
            <v>03 - PENDIENTE</v>
          </cell>
          <cell r="AP3328">
            <v>1478033</v>
          </cell>
        </row>
        <row r="3329">
          <cell r="AE3329" t="str">
            <v>03 - PENDIENTE</v>
          </cell>
          <cell r="AP3329">
            <v>973581</v>
          </cell>
        </row>
        <row r="3330">
          <cell r="AE3330" t="str">
            <v>03 - PENDIENTE</v>
          </cell>
          <cell r="AP3330">
            <v>17616142</v>
          </cell>
        </row>
        <row r="3331">
          <cell r="AE3331" t="str">
            <v>04 - NO RENOVADA</v>
          </cell>
          <cell r="AP3331">
            <v>973667</v>
          </cell>
        </row>
        <row r="3332">
          <cell r="AE3332" t="str">
            <v>01 - RENOVADA</v>
          </cell>
          <cell r="AP3332">
            <v>541711</v>
          </cell>
        </row>
        <row r="3333">
          <cell r="AE3333" t="str">
            <v>01 - RENOVADA</v>
          </cell>
          <cell r="AP3333">
            <v>540924</v>
          </cell>
        </row>
        <row r="3334">
          <cell r="AE3334" t="str">
            <v>04 - NO RENOVADA</v>
          </cell>
          <cell r="AP3334" t="str">
            <v>P0164773</v>
          </cell>
        </row>
        <row r="3335">
          <cell r="AE3335" t="str">
            <v>04 - NO RENOVADA</v>
          </cell>
          <cell r="AP3335" t="str">
            <v>S0159170</v>
          </cell>
        </row>
        <row r="3336">
          <cell r="AE3336" t="str">
            <v>04 - NO RENOVADA</v>
          </cell>
          <cell r="AP3336">
            <v>81429778</v>
          </cell>
        </row>
        <row r="3337">
          <cell r="AE3337" t="str">
            <v>04 - NO RENOVADA</v>
          </cell>
          <cell r="AP3337">
            <v>81429895</v>
          </cell>
        </row>
        <row r="3338">
          <cell r="AE3338" t="str">
            <v>04 - NO RENOVADA</v>
          </cell>
          <cell r="AP3338">
            <v>431623</v>
          </cell>
        </row>
        <row r="3339">
          <cell r="AE3339" t="str">
            <v>02 - EN PROCESO</v>
          </cell>
          <cell r="AP3339">
            <v>7022400150967</v>
          </cell>
        </row>
        <row r="3340">
          <cell r="AE3340" t="str">
            <v>08 - VIGENCIA ANTERIOR</v>
          </cell>
          <cell r="AP3340">
            <v>960396</v>
          </cell>
        </row>
        <row r="3341">
          <cell r="AE3341" t="str">
            <v>04 - NO RENOVADA</v>
          </cell>
          <cell r="AP3341">
            <v>41500</v>
          </cell>
        </row>
        <row r="3342">
          <cell r="AE3342" t="str">
            <v>08 - VIGENCIA ANTERIOR</v>
          </cell>
          <cell r="AP3342">
            <v>1067783</v>
          </cell>
        </row>
        <row r="3343">
          <cell r="AE3343" t="str">
            <v>08 - VIGENCIA ANTERIOR</v>
          </cell>
          <cell r="AP3343">
            <v>1263101</v>
          </cell>
        </row>
        <row r="3344">
          <cell r="AE3344" t="str">
            <v>04 - NO RENOVADA</v>
          </cell>
          <cell r="AP3344">
            <v>504639</v>
          </cell>
        </row>
        <row r="3345">
          <cell r="AE3345" t="str">
            <v>04 - NO RENOVADA</v>
          </cell>
          <cell r="AP3345">
            <v>518466</v>
          </cell>
        </row>
        <row r="3346">
          <cell r="AE3346" t="str">
            <v>04 - NO RENOVADA</v>
          </cell>
          <cell r="AP3346">
            <v>521214</v>
          </cell>
        </row>
        <row r="3347">
          <cell r="AE3347" t="str">
            <v>05 - ANULADA EN VIGENCIA</v>
          </cell>
          <cell r="AP3347">
            <v>1430847</v>
          </cell>
        </row>
        <row r="3348">
          <cell r="AE3348" t="str">
            <v>01 - RENOVADA</v>
          </cell>
          <cell r="AP3348">
            <v>2402510106290</v>
          </cell>
        </row>
        <row r="3349">
          <cell r="AE3349" t="str">
            <v>01 - RENOVADA</v>
          </cell>
          <cell r="AP3349">
            <v>2032510100309</v>
          </cell>
        </row>
        <row r="3350">
          <cell r="AE3350" t="str">
            <v>01 - RENOVADA</v>
          </cell>
          <cell r="AP3350">
            <v>2222510100099</v>
          </cell>
        </row>
        <row r="3351">
          <cell r="AE3351" t="str">
            <v>03 - PENDIENTE</v>
          </cell>
          <cell r="AP3351">
            <v>7012100122361</v>
          </cell>
        </row>
        <row r="3352">
          <cell r="AE3352" t="str">
            <v>03 - PENDIENTE</v>
          </cell>
          <cell r="AP3352">
            <v>44654</v>
          </cell>
        </row>
        <row r="3353">
          <cell r="AE3353" t="str">
            <v>01 - RENOVADA</v>
          </cell>
          <cell r="AP3353" t="str">
            <v>E0020619</v>
          </cell>
        </row>
        <row r="3354">
          <cell r="AE3354" t="str">
            <v>05 - ANULADA EN VIGENCIA</v>
          </cell>
          <cell r="AP3354">
            <v>513091</v>
          </cell>
        </row>
        <row r="3355">
          <cell r="AE3355" t="str">
            <v>01 - RENOVADA</v>
          </cell>
          <cell r="AP3355">
            <v>2009009909</v>
          </cell>
        </row>
        <row r="3356">
          <cell r="AE3356" t="str">
            <v>04 - NO RENOVADA</v>
          </cell>
          <cell r="AP3356">
            <v>232117</v>
          </cell>
        </row>
        <row r="3357">
          <cell r="AE3357" t="str">
            <v>04 - NO RENOVADA</v>
          </cell>
          <cell r="AP3357">
            <v>232128</v>
          </cell>
        </row>
        <row r="3358">
          <cell r="AE3358" t="str">
            <v>04 - NO RENOVADA</v>
          </cell>
          <cell r="AP3358">
            <v>401217</v>
          </cell>
        </row>
        <row r="3359">
          <cell r="AE3359" t="str">
            <v>03 - PENDIENTE</v>
          </cell>
          <cell r="AP3359">
            <v>6102110105682</v>
          </cell>
        </row>
        <row r="3360">
          <cell r="AE3360" t="str">
            <v>04 - NO RENOVADA</v>
          </cell>
          <cell r="AP3360">
            <v>249434</v>
          </cell>
        </row>
        <row r="3361">
          <cell r="AE3361" t="str">
            <v>01 - RENOVADA</v>
          </cell>
          <cell r="AP3361">
            <v>22643</v>
          </cell>
        </row>
        <row r="3362">
          <cell r="AE3362" t="str">
            <v>08 - VIGENCIA ANTERIOR</v>
          </cell>
          <cell r="AP3362">
            <v>20535</v>
          </cell>
        </row>
        <row r="3363">
          <cell r="AE3363" t="str">
            <v>01 - RENOVADA</v>
          </cell>
          <cell r="AP3363">
            <v>7630054</v>
          </cell>
        </row>
        <row r="3364">
          <cell r="AE3364" t="str">
            <v>05 - ANULADA EN VIGENCIA</v>
          </cell>
          <cell r="AP3364">
            <v>539012</v>
          </cell>
        </row>
        <row r="3365">
          <cell r="AE3365" t="str">
            <v>04 - NO RENOVADA</v>
          </cell>
          <cell r="AP3365">
            <v>81958725</v>
          </cell>
        </row>
        <row r="3366">
          <cell r="AE3366" t="str">
            <v>05 - ANULADA EN VIGENCIA</v>
          </cell>
          <cell r="AP3366">
            <v>961999</v>
          </cell>
        </row>
        <row r="3367">
          <cell r="AE3367" t="str">
            <v>04 - NO RENOVADA</v>
          </cell>
          <cell r="AP3367">
            <v>2001110700</v>
          </cell>
        </row>
        <row r="3368">
          <cell r="AE3368" t="str">
            <v>05 - ANULADA EN VIGENCIA</v>
          </cell>
          <cell r="AP3368">
            <v>507891</v>
          </cell>
        </row>
        <row r="3369">
          <cell r="AE3369" t="str">
            <v>05 - ANULADA EN VIGENCIA</v>
          </cell>
          <cell r="AP3369">
            <v>501187</v>
          </cell>
        </row>
        <row r="3370">
          <cell r="AE3370" t="str">
            <v>05 - ANULADA EN VIGENCIA</v>
          </cell>
          <cell r="AP3370">
            <v>509100</v>
          </cell>
        </row>
        <row r="3371">
          <cell r="AE3371" t="str">
            <v>05 - ANULADA EN VIGENCIA</v>
          </cell>
          <cell r="AP3371">
            <v>1042572</v>
          </cell>
        </row>
        <row r="3372">
          <cell r="AE3372" t="str">
            <v>05 - ANULADA EN VIGENCIA</v>
          </cell>
          <cell r="AP3372">
            <v>508540</v>
          </cell>
        </row>
        <row r="3373">
          <cell r="AE3373" t="str">
            <v>05 - ANULADA EN VIGENCIA</v>
          </cell>
          <cell r="AP3373">
            <v>501798</v>
          </cell>
        </row>
        <row r="3374">
          <cell r="AE3374" t="str">
            <v>05 - ANULADA EN VIGENCIA</v>
          </cell>
          <cell r="AP3374">
            <v>14454052</v>
          </cell>
        </row>
        <row r="3375">
          <cell r="AE3375" t="str">
            <v>05 - ANULADA EN VIGENCIA</v>
          </cell>
          <cell r="AP3375">
            <v>513334</v>
          </cell>
        </row>
        <row r="3376">
          <cell r="AE3376" t="str">
            <v>05 - ANULADA EN VIGENCIA</v>
          </cell>
          <cell r="AP3376">
            <v>520033</v>
          </cell>
        </row>
        <row r="3377">
          <cell r="AE3377" t="str">
            <v>05 - ANULADA EN VIGENCIA</v>
          </cell>
          <cell r="AP3377">
            <v>510169</v>
          </cell>
        </row>
        <row r="3378">
          <cell r="AE3378" t="str">
            <v>05 - ANULADA EN VIGENCIA</v>
          </cell>
          <cell r="AP3378">
            <v>508545</v>
          </cell>
        </row>
        <row r="3379">
          <cell r="AE3379" t="str">
            <v>05 - ANULADA EN VIGENCIA</v>
          </cell>
          <cell r="AP3379">
            <v>501223</v>
          </cell>
        </row>
        <row r="3380">
          <cell r="AE3380" t="str">
            <v>05 - ANULADA EN VIGENCIA</v>
          </cell>
          <cell r="AP3380" t="str">
            <v>BAKELSPEU01</v>
          </cell>
        </row>
        <row r="3381">
          <cell r="AE3381" t="str">
            <v>01 - RENOVADA</v>
          </cell>
          <cell r="AP3381">
            <v>21547</v>
          </cell>
        </row>
        <row r="3382">
          <cell r="AE3382" t="str">
            <v>04 - NO RENOVADA</v>
          </cell>
          <cell r="AP3382">
            <v>1244085</v>
          </cell>
        </row>
        <row r="3383">
          <cell r="AE3383" t="str">
            <v>01 - RENOVADA</v>
          </cell>
          <cell r="AP3383">
            <v>1509821</v>
          </cell>
        </row>
        <row r="3384">
          <cell r="AE3384" t="str">
            <v>04 - NO RENOVADA</v>
          </cell>
          <cell r="AP3384">
            <v>985613</v>
          </cell>
        </row>
        <row r="3385">
          <cell r="AE3385" t="str">
            <v>01 - RENOVADA</v>
          </cell>
          <cell r="AP3385">
            <v>1300624185</v>
          </cell>
        </row>
        <row r="3386">
          <cell r="AE3386" t="str">
            <v>05 - ANULADA EN VIGENCIA</v>
          </cell>
          <cell r="AP3386">
            <v>7473485</v>
          </cell>
        </row>
        <row r="3387">
          <cell r="AE3387" t="str">
            <v>05 - ANULADA EN VIGENCIA</v>
          </cell>
          <cell r="AP3387">
            <v>16811230</v>
          </cell>
        </row>
        <row r="3388">
          <cell r="AE3388" t="str">
            <v>01 - RENOVADA</v>
          </cell>
          <cell r="AP3388">
            <v>64821</v>
          </cell>
        </row>
        <row r="3389">
          <cell r="AE3389" t="str">
            <v>01 - RENOVADA</v>
          </cell>
          <cell r="AP3389">
            <v>64822</v>
          </cell>
        </row>
        <row r="3390">
          <cell r="AE3390" t="str">
            <v>01 - RENOVADA</v>
          </cell>
          <cell r="AP3390" t="str">
            <v>E0037340</v>
          </cell>
        </row>
        <row r="3391">
          <cell r="AE3391" t="str">
            <v>08 - VIGENCIA ANTERIOR</v>
          </cell>
          <cell r="AP3391">
            <v>1003298</v>
          </cell>
        </row>
        <row r="3392">
          <cell r="AE3392" t="str">
            <v>01 - RENOVADA</v>
          </cell>
          <cell r="AP3392">
            <v>1491898</v>
          </cell>
        </row>
        <row r="3393">
          <cell r="AE3393" t="str">
            <v>01 - RENOVADA</v>
          </cell>
          <cell r="AP3393">
            <v>2002950227</v>
          </cell>
        </row>
        <row r="3394">
          <cell r="AE3394" t="str">
            <v>01 - RENOVADA</v>
          </cell>
          <cell r="AP3394">
            <v>2010667494</v>
          </cell>
        </row>
        <row r="3395">
          <cell r="AE3395" t="str">
            <v>01 - RENOVADA</v>
          </cell>
          <cell r="AP3395">
            <v>70216538</v>
          </cell>
        </row>
        <row r="3396">
          <cell r="AE3396" t="str">
            <v>01 - RENOVADA</v>
          </cell>
          <cell r="AP3396">
            <v>70200833</v>
          </cell>
        </row>
        <row r="3397">
          <cell r="AE3397" t="str">
            <v>01 - RENOVADA</v>
          </cell>
          <cell r="AP3397">
            <v>70210547</v>
          </cell>
        </row>
        <row r="3398">
          <cell r="AE3398" t="str">
            <v>01 - RENOVADA</v>
          </cell>
          <cell r="AP3398">
            <v>9453803</v>
          </cell>
        </row>
        <row r="3399">
          <cell r="AE3399" t="str">
            <v>01 - RENOVADA</v>
          </cell>
          <cell r="AP3399">
            <v>9480347</v>
          </cell>
        </row>
        <row r="3400">
          <cell r="AE3400" t="str">
            <v>01 - RENOVADA</v>
          </cell>
          <cell r="AP3400">
            <v>47444</v>
          </cell>
        </row>
        <row r="3401">
          <cell r="AE3401" t="str">
            <v>01 - RENOVADA</v>
          </cell>
          <cell r="AP3401">
            <v>70228666</v>
          </cell>
        </row>
        <row r="3402">
          <cell r="AE3402" t="str">
            <v>01 - RENOVADA</v>
          </cell>
          <cell r="AP3402">
            <v>70221360</v>
          </cell>
        </row>
        <row r="3403">
          <cell r="AE3403" t="str">
            <v>01 - RENOVADA</v>
          </cell>
          <cell r="AP3403">
            <v>70235238</v>
          </cell>
        </row>
        <row r="3404">
          <cell r="AE3404" t="str">
            <v>05 - ANULADA EN VIGENCIA</v>
          </cell>
          <cell r="AP3404">
            <v>44183</v>
          </cell>
        </row>
        <row r="3405">
          <cell r="AE3405" t="str">
            <v>01 - RENOVADA</v>
          </cell>
          <cell r="AP3405">
            <v>1573377</v>
          </cell>
        </row>
        <row r="3406">
          <cell r="AE3406" t="str">
            <v>03 - PENDIENTE</v>
          </cell>
          <cell r="AP3406">
            <v>9411965</v>
          </cell>
        </row>
        <row r="3407">
          <cell r="AE3407" t="str">
            <v>05 - ANULADA EN VIGENCIA</v>
          </cell>
          <cell r="AP3407" t="str">
            <v>S/N</v>
          </cell>
        </row>
        <row r="3408">
          <cell r="AE3408" t="str">
            <v>05 - ANULADA EN VIGENCIA</v>
          </cell>
          <cell r="AP3408">
            <v>15731034</v>
          </cell>
        </row>
        <row r="3409">
          <cell r="AE3409" t="str">
            <v>05 - ANULADA EN VIGENCIA</v>
          </cell>
          <cell r="AP3409">
            <v>2006949822</v>
          </cell>
        </row>
        <row r="3410">
          <cell r="AE3410" t="str">
            <v>05 - ANULADA EN VIGENCIA</v>
          </cell>
          <cell r="AP3410">
            <v>2006949826</v>
          </cell>
        </row>
        <row r="3411">
          <cell r="AE3411" t="str">
            <v>05 - ANULADA EN VIGENCIA</v>
          </cell>
          <cell r="AP3411">
            <v>2008387127</v>
          </cell>
        </row>
        <row r="3412">
          <cell r="AE3412" t="str">
            <v>07 - DEVUELTO A AON</v>
          </cell>
          <cell r="AP3412">
            <v>4001</v>
          </cell>
        </row>
        <row r="3413">
          <cell r="AE3413" t="str">
            <v>05 - ANULADA EN VIGENCIA</v>
          </cell>
          <cell r="AP3413" t="str">
            <v>S/N</v>
          </cell>
        </row>
        <row r="3414">
          <cell r="AE3414" t="str">
            <v>05 - ANULADA EN VIGENCIA</v>
          </cell>
          <cell r="AP3414">
            <v>16676052</v>
          </cell>
        </row>
        <row r="3415">
          <cell r="AE3415" t="str">
            <v>05 - ANULADA EN VIGENCIA</v>
          </cell>
          <cell r="AP3415">
            <v>16675287</v>
          </cell>
        </row>
        <row r="3416">
          <cell r="AE3416" t="str">
            <v>05 - ANULADA EN VIGENCIA</v>
          </cell>
          <cell r="AP3416">
            <v>16675417</v>
          </cell>
        </row>
        <row r="3417">
          <cell r="AE3417" t="str">
            <v>05 - ANULADA EN VIGENCIA</v>
          </cell>
          <cell r="AP3417">
            <v>16676071</v>
          </cell>
        </row>
        <row r="3418">
          <cell r="AE3418" t="str">
            <v>08 - VIGENCIA ANTERIOR</v>
          </cell>
          <cell r="AP3418">
            <v>978403</v>
          </cell>
        </row>
        <row r="3419">
          <cell r="AE3419" t="str">
            <v>08 - VIGENCIA ANTERIOR</v>
          </cell>
          <cell r="AP3419">
            <v>1096371</v>
          </cell>
        </row>
        <row r="3420">
          <cell r="AE3420" t="str">
            <v>08 - VIGENCIA ANTERIOR</v>
          </cell>
          <cell r="AP3420">
            <v>1281692</v>
          </cell>
        </row>
        <row r="3421">
          <cell r="AE3421" t="str">
            <v>05 - ANULADA EN VIGENCIA</v>
          </cell>
          <cell r="AP3421">
            <v>1365103</v>
          </cell>
        </row>
        <row r="3422">
          <cell r="AE3422" t="str">
            <v>04 - NO RENOVADA</v>
          </cell>
          <cell r="AP3422">
            <v>843</v>
          </cell>
        </row>
        <row r="3423">
          <cell r="AE3423" t="str">
            <v>04 - NO RENOVADA</v>
          </cell>
          <cell r="AP3423">
            <v>1374</v>
          </cell>
        </row>
        <row r="3424">
          <cell r="AE3424" t="str">
            <v>05 - ANULADA EN VIGENCIA</v>
          </cell>
          <cell r="AP3424">
            <v>22224</v>
          </cell>
        </row>
        <row r="3425">
          <cell r="AE3425" t="str">
            <v>04 - NO RENOVADA</v>
          </cell>
          <cell r="AP3425">
            <v>170190</v>
          </cell>
        </row>
        <row r="3426">
          <cell r="AE3426" t="str">
            <v>01 - RENOVADA</v>
          </cell>
          <cell r="AP3426">
            <v>1506813</v>
          </cell>
        </row>
        <row r="3427">
          <cell r="AE3427" t="str">
            <v>04 - NO RENOVADA</v>
          </cell>
          <cell r="AP3427">
            <v>7656998</v>
          </cell>
        </row>
        <row r="3428">
          <cell r="AE3428" t="str">
            <v>05 - ANULADA EN VIGENCIA</v>
          </cell>
          <cell r="AP3428">
            <v>768783</v>
          </cell>
        </row>
        <row r="3429">
          <cell r="AE3429" t="str">
            <v>04 - NO RENOVADA</v>
          </cell>
          <cell r="AP3429">
            <v>7311314</v>
          </cell>
        </row>
        <row r="3430">
          <cell r="AE3430" t="str">
            <v>04 - NO RENOVADA</v>
          </cell>
          <cell r="AP3430">
            <v>8130509</v>
          </cell>
        </row>
        <row r="3431">
          <cell r="AE3431" t="str">
            <v>01 - RENOVADA</v>
          </cell>
          <cell r="AP3431">
            <v>119177</v>
          </cell>
        </row>
        <row r="3432">
          <cell r="AE3432" t="str">
            <v>03 - PENDIENTE</v>
          </cell>
          <cell r="AP3432">
            <v>2011434031</v>
          </cell>
        </row>
        <row r="3433">
          <cell r="AE3433" t="str">
            <v>04 - NO RENOVADA</v>
          </cell>
          <cell r="AP3433">
            <v>16794382</v>
          </cell>
        </row>
        <row r="3434">
          <cell r="AE3434" t="str">
            <v>01 - RENOVADA</v>
          </cell>
          <cell r="AP3434">
            <v>17124667</v>
          </cell>
        </row>
        <row r="3435">
          <cell r="AE3435" t="str">
            <v>04 - NO RENOVADA</v>
          </cell>
          <cell r="AP3435">
            <v>16803678</v>
          </cell>
        </row>
        <row r="3436">
          <cell r="AE3436" t="str">
            <v>01 - RENOVADA</v>
          </cell>
          <cell r="AP3436">
            <v>16804632</v>
          </cell>
        </row>
        <row r="3437">
          <cell r="AE3437" t="str">
            <v>04 - NO RENOVADA</v>
          </cell>
          <cell r="AP3437">
            <v>2004457109</v>
          </cell>
        </row>
        <row r="3438">
          <cell r="AE3438" t="str">
            <v>01 - RENOVADA</v>
          </cell>
          <cell r="AP3438">
            <v>2004457081</v>
          </cell>
        </row>
        <row r="3439">
          <cell r="AE3439" t="str">
            <v>01 - RENOVADA</v>
          </cell>
          <cell r="AP3439">
            <v>70202784</v>
          </cell>
        </row>
        <row r="3440">
          <cell r="AE3440" t="str">
            <v>01 - RENOVADA</v>
          </cell>
          <cell r="AP3440">
            <v>2006906849</v>
          </cell>
        </row>
        <row r="3441">
          <cell r="AE3441" t="str">
            <v>01 - RENOVADA</v>
          </cell>
          <cell r="AP3441">
            <v>2009961447</v>
          </cell>
        </row>
        <row r="3442">
          <cell r="AE3442" t="str">
            <v>05 - ANULADA EN VIGENCIA</v>
          </cell>
          <cell r="AP3442">
            <v>2007065028</v>
          </cell>
        </row>
        <row r="3443">
          <cell r="AE3443" t="str">
            <v>01 - RENOVADA</v>
          </cell>
          <cell r="AP3443">
            <v>2003805803</v>
          </cell>
        </row>
        <row r="3444">
          <cell r="AE3444" t="str">
            <v>01 - RENOVADA</v>
          </cell>
          <cell r="AP3444">
            <v>7190638</v>
          </cell>
        </row>
        <row r="3445">
          <cell r="AE3445" t="str">
            <v>01 - RENOVADA</v>
          </cell>
          <cell r="AP3445">
            <v>7190648</v>
          </cell>
        </row>
        <row r="3446">
          <cell r="AE3446" t="str">
            <v>04 - NO RENOVADA</v>
          </cell>
          <cell r="AP3446">
            <v>70134658</v>
          </cell>
        </row>
        <row r="3447">
          <cell r="AE3447" t="str">
            <v>03 - PENDIENTE</v>
          </cell>
          <cell r="AP3447">
            <v>1006181584</v>
          </cell>
        </row>
        <row r="3448">
          <cell r="AE3448" t="str">
            <v>03 - PENDIENTE</v>
          </cell>
          <cell r="AP3448">
            <v>90335</v>
          </cell>
        </row>
        <row r="3449">
          <cell r="AE3449" t="str">
            <v>01 - RENOVADA</v>
          </cell>
          <cell r="AP3449">
            <v>70237747</v>
          </cell>
        </row>
        <row r="3450">
          <cell r="AE3450" t="str">
            <v>03 - PENDIENTE</v>
          </cell>
          <cell r="AP3450">
            <v>1131072</v>
          </cell>
        </row>
        <row r="3451">
          <cell r="AE3451" t="str">
            <v>03 - PENDIENTE</v>
          </cell>
          <cell r="AP3451">
            <v>620103144</v>
          </cell>
        </row>
        <row r="3452">
          <cell r="AE3452" t="str">
            <v>04 - NO RENOVADA</v>
          </cell>
          <cell r="AP3452">
            <v>61942</v>
          </cell>
        </row>
        <row r="3453">
          <cell r="AE3453" t="str">
            <v>01 - RENOVADA</v>
          </cell>
          <cell r="AP3453">
            <v>2010836999</v>
          </cell>
        </row>
        <row r="3454">
          <cell r="AE3454" t="str">
            <v>03 - PENDIENTE</v>
          </cell>
          <cell r="AP3454">
            <v>61271</v>
          </cell>
        </row>
        <row r="3455">
          <cell r="AE3455" t="str">
            <v>03 - PENDIENTE</v>
          </cell>
          <cell r="AP3455">
            <v>62037008</v>
          </cell>
        </row>
        <row r="3456">
          <cell r="AE3456" t="str">
            <v>05 - ANULADA EN VIGENCIA</v>
          </cell>
          <cell r="AP3456">
            <v>589165</v>
          </cell>
        </row>
        <row r="3457">
          <cell r="AE3457" t="str">
            <v>05 - ANULADA EN VIGENCIA</v>
          </cell>
          <cell r="AP3457" t="str">
            <v>P0025309</v>
          </cell>
        </row>
        <row r="3458">
          <cell r="AE3458" t="str">
            <v>05 - ANULADA EN VIGENCIA</v>
          </cell>
          <cell r="AP3458" t="str">
            <v>S0022260</v>
          </cell>
        </row>
        <row r="3459">
          <cell r="AE3459" t="str">
            <v>05 - ANULADA EN VIGENCIA</v>
          </cell>
          <cell r="AP3459">
            <v>2212159900019</v>
          </cell>
        </row>
        <row r="3460">
          <cell r="AE3460" t="str">
            <v>05 - ANULADA EN VIGENCIA</v>
          </cell>
          <cell r="AP3460">
            <v>2402159900111</v>
          </cell>
        </row>
        <row r="3461">
          <cell r="AE3461" t="str">
            <v>05 - ANULADA EN VIGENCIA</v>
          </cell>
          <cell r="AP3461">
            <v>17589</v>
          </cell>
        </row>
        <row r="3462">
          <cell r="AE3462" t="str">
            <v>01 - RENOVADA</v>
          </cell>
          <cell r="AP3462">
            <v>1300374530</v>
          </cell>
        </row>
        <row r="3463">
          <cell r="AE3463" t="str">
            <v>04 - NO RENOVADA</v>
          </cell>
          <cell r="AP3463">
            <v>17462674</v>
          </cell>
        </row>
        <row r="3464">
          <cell r="AE3464" t="str">
            <v>05 - ANULADA EN VIGENCIA</v>
          </cell>
          <cell r="AP3464">
            <v>2006989229</v>
          </cell>
        </row>
        <row r="3465">
          <cell r="AE3465" t="str">
            <v>02 - EN PROCESO</v>
          </cell>
          <cell r="AP3465">
            <v>139333</v>
          </cell>
        </row>
        <row r="3466">
          <cell r="AE3466" t="str">
            <v>01 - RENOVADA</v>
          </cell>
          <cell r="AP3466">
            <v>4012001816</v>
          </cell>
        </row>
        <row r="3467">
          <cell r="AE3467" t="str">
            <v>01 - RENOVADA</v>
          </cell>
          <cell r="AP3467" t="str">
            <v>E0012974</v>
          </cell>
        </row>
        <row r="3468">
          <cell r="AE3468" t="str">
            <v>01 - RENOVADA</v>
          </cell>
          <cell r="AP3468">
            <v>220016195</v>
          </cell>
        </row>
        <row r="3469">
          <cell r="AE3469" t="str">
            <v>01 - RENOVADA</v>
          </cell>
          <cell r="AP3469">
            <v>220016212</v>
          </cell>
        </row>
        <row r="3470">
          <cell r="AE3470" t="str">
            <v>01 - RENOVADA</v>
          </cell>
          <cell r="AP3470">
            <v>220016213</v>
          </cell>
        </row>
        <row r="3471">
          <cell r="AE3471" t="str">
            <v>04 - NO RENOVADA</v>
          </cell>
          <cell r="AP3471">
            <v>17647085</v>
          </cell>
        </row>
        <row r="3472">
          <cell r="AE3472" t="str">
            <v>05 - ANULADA EN VIGENCIA</v>
          </cell>
          <cell r="AP3472">
            <v>1020454</v>
          </cell>
        </row>
        <row r="3473">
          <cell r="AE3473" t="str">
            <v>01 - RENOVADA</v>
          </cell>
          <cell r="AP3473">
            <v>2009718549</v>
          </cell>
        </row>
        <row r="3474">
          <cell r="AE3474" t="str">
            <v>08 - VIGENCIA ANTERIOR</v>
          </cell>
          <cell r="AP3474">
            <v>7919266</v>
          </cell>
        </row>
        <row r="3475">
          <cell r="AE3475" t="str">
            <v>04 - NO RENOVADA</v>
          </cell>
          <cell r="AP3475">
            <v>70177071</v>
          </cell>
        </row>
        <row r="3476">
          <cell r="AE3476" t="str">
            <v>03 - PENDIENTE</v>
          </cell>
          <cell r="AP3476">
            <v>257305</v>
          </cell>
        </row>
        <row r="3477">
          <cell r="AE3477" t="str">
            <v>01 - RENOVADA</v>
          </cell>
          <cell r="AP3477">
            <v>70234939</v>
          </cell>
        </row>
        <row r="3478">
          <cell r="AE3478" t="str">
            <v>01 - RENOVADA</v>
          </cell>
          <cell r="AP3478">
            <v>1512436</v>
          </cell>
        </row>
        <row r="3479">
          <cell r="AE3479" t="str">
            <v>05 - ANULADA EN VIGENCIA</v>
          </cell>
          <cell r="AP3479">
            <v>588820</v>
          </cell>
        </row>
        <row r="3480">
          <cell r="AE3480" t="str">
            <v>05 - ANULADA EN VIGENCIA</v>
          </cell>
          <cell r="AP3480">
            <v>37643</v>
          </cell>
        </row>
        <row r="3481">
          <cell r="AE3481" t="str">
            <v>05 - ANULADA EN VIGENCIA</v>
          </cell>
          <cell r="AP3481">
            <v>4008002774</v>
          </cell>
        </row>
        <row r="3482">
          <cell r="AE3482" t="str">
            <v>05 - ANULADA EN VIGENCIA</v>
          </cell>
          <cell r="AP3482">
            <v>4008002776</v>
          </cell>
        </row>
        <row r="3483">
          <cell r="AE3483" t="str">
            <v>05 - ANULADA EN VIGENCIA</v>
          </cell>
          <cell r="AP3483">
            <v>4008002882</v>
          </cell>
        </row>
        <row r="3484">
          <cell r="AE3484" t="str">
            <v>05 - ANULADA EN VIGENCIA</v>
          </cell>
          <cell r="AP3484">
            <v>36564</v>
          </cell>
        </row>
        <row r="3485">
          <cell r="AE3485" t="str">
            <v>05 - ANULADA EN VIGENCIA</v>
          </cell>
          <cell r="AP3485">
            <v>36566</v>
          </cell>
        </row>
        <row r="3486">
          <cell r="AE3486" t="str">
            <v>05 - ANULADA EN VIGENCIA</v>
          </cell>
          <cell r="AP3486">
            <v>36567</v>
          </cell>
        </row>
        <row r="3487">
          <cell r="AE3487" t="str">
            <v>05 - ANULADA EN VIGENCIA</v>
          </cell>
          <cell r="AP3487">
            <v>39298</v>
          </cell>
        </row>
        <row r="3488">
          <cell r="AE3488" t="str">
            <v>01 - RENOVADA</v>
          </cell>
          <cell r="AP3488">
            <v>40897013</v>
          </cell>
        </row>
        <row r="3489">
          <cell r="AE3489" t="str">
            <v>02 - EN PROCESO</v>
          </cell>
          <cell r="AP3489">
            <v>19053120</v>
          </cell>
        </row>
        <row r="3490">
          <cell r="AE3490" t="str">
            <v>05 - ANULADA EN VIGENCIA</v>
          </cell>
          <cell r="AP3490">
            <v>17450195</v>
          </cell>
        </row>
        <row r="3491">
          <cell r="AE3491" t="str">
            <v>01 - RENOVADA</v>
          </cell>
          <cell r="AP3491">
            <v>17480232</v>
          </cell>
        </row>
        <row r="3492">
          <cell r="AE3492" t="str">
            <v>01 - RENOVADA</v>
          </cell>
          <cell r="AP3492">
            <v>612030480</v>
          </cell>
        </row>
        <row r="3493">
          <cell r="AE3493" t="str">
            <v>01 - RENOVADA</v>
          </cell>
          <cell r="AP3493">
            <v>612157052</v>
          </cell>
        </row>
        <row r="3494">
          <cell r="AE3494" t="str">
            <v>03 - PENDIENTE</v>
          </cell>
          <cell r="AP3494">
            <v>20102617</v>
          </cell>
        </row>
        <row r="3495">
          <cell r="AE3495" t="str">
            <v>03 - PENDIENTE</v>
          </cell>
          <cell r="AP3495">
            <v>20525237</v>
          </cell>
        </row>
        <row r="3496">
          <cell r="AE3496" t="str">
            <v>04 - NO RENOVADA</v>
          </cell>
          <cell r="AP3496">
            <v>17164886</v>
          </cell>
        </row>
        <row r="3497">
          <cell r="AE3497" t="str">
            <v>03 - PENDIENTE</v>
          </cell>
          <cell r="AP3497">
            <v>20923635</v>
          </cell>
        </row>
        <row r="3498">
          <cell r="AE3498" t="str">
            <v>05 - ANULADA EN VIGENCIA</v>
          </cell>
          <cell r="AP3498">
            <v>20210</v>
          </cell>
        </row>
        <row r="3499">
          <cell r="AE3499" t="str">
            <v>05 - ANULADA EN VIGENCIA</v>
          </cell>
          <cell r="AP3499">
            <v>16866952</v>
          </cell>
        </row>
        <row r="3500">
          <cell r="AE3500" t="str">
            <v>05 - ANULADA EN VIGENCIA</v>
          </cell>
          <cell r="AP3500">
            <v>82479</v>
          </cell>
        </row>
        <row r="3501">
          <cell r="AE3501" t="str">
            <v>05 - ANULADA EN VIGENCIA</v>
          </cell>
          <cell r="AP3501">
            <v>15405433</v>
          </cell>
        </row>
        <row r="3502">
          <cell r="AE3502" t="str">
            <v>05 - ANULADA EN VIGENCIA</v>
          </cell>
          <cell r="AP3502">
            <v>3797</v>
          </cell>
        </row>
        <row r="3503">
          <cell r="AE3503" t="str">
            <v>05 - ANULADA EN VIGENCIA</v>
          </cell>
          <cell r="AP3503">
            <v>5134</v>
          </cell>
        </row>
        <row r="3504">
          <cell r="AE3504" t="str">
            <v>05 - ANULADA EN VIGENCIA</v>
          </cell>
          <cell r="AP3504">
            <v>5450194</v>
          </cell>
        </row>
        <row r="3505">
          <cell r="AE3505" t="str">
            <v>05 - ANULADA EN VIGENCIA</v>
          </cell>
          <cell r="AP3505">
            <v>70048</v>
          </cell>
        </row>
        <row r="3506">
          <cell r="AE3506" t="str">
            <v>05 - ANULADA EN VIGENCIA</v>
          </cell>
          <cell r="AP3506">
            <v>5148</v>
          </cell>
        </row>
        <row r="3507">
          <cell r="AE3507" t="str">
            <v>05 - ANULADA EN VIGENCIA</v>
          </cell>
          <cell r="AP3507">
            <v>70130</v>
          </cell>
        </row>
        <row r="3508">
          <cell r="AE3508" t="str">
            <v>05 - ANULADA EN VIGENCIA</v>
          </cell>
          <cell r="AP3508">
            <v>16565952</v>
          </cell>
        </row>
        <row r="3509">
          <cell r="AE3509" t="str">
            <v>05 - ANULADA EN VIGENCIA</v>
          </cell>
          <cell r="AP3509">
            <v>70428</v>
          </cell>
        </row>
        <row r="3510">
          <cell r="AE3510" t="str">
            <v>05 - ANULADA EN VIGENCIA</v>
          </cell>
          <cell r="AP3510">
            <v>5153</v>
          </cell>
        </row>
        <row r="3511">
          <cell r="AE3511" t="str">
            <v>01 - RENOVADA</v>
          </cell>
          <cell r="AP3511">
            <v>1416927</v>
          </cell>
        </row>
        <row r="3512">
          <cell r="AE3512" t="str">
            <v>04 - NO RENOVADA</v>
          </cell>
          <cell r="AP3512">
            <v>668177</v>
          </cell>
        </row>
        <row r="3513">
          <cell r="AE3513" t="str">
            <v>04 - NO RENOVADA</v>
          </cell>
          <cell r="AP3513">
            <v>30084965</v>
          </cell>
        </row>
        <row r="3514">
          <cell r="AE3514" t="str">
            <v>04 - NO RENOVADA</v>
          </cell>
          <cell r="AP3514">
            <v>30156798</v>
          </cell>
        </row>
        <row r="3515">
          <cell r="AE3515" t="str">
            <v>05 - ANULADA EN VIGENCIA</v>
          </cell>
          <cell r="AP3515">
            <v>16952655</v>
          </cell>
        </row>
        <row r="3516">
          <cell r="AE3516" t="str">
            <v>01 - RENOVADA</v>
          </cell>
          <cell r="AP3516">
            <v>856751</v>
          </cell>
        </row>
        <row r="3517">
          <cell r="AE3517" t="str">
            <v>05 - ANULADA EN VIGENCIA</v>
          </cell>
          <cell r="AP3517">
            <v>11086780</v>
          </cell>
        </row>
        <row r="3518">
          <cell r="AE3518" t="str">
            <v>05 - ANULADA EN VIGENCIA</v>
          </cell>
          <cell r="AP3518">
            <v>83612</v>
          </cell>
        </row>
        <row r="3519">
          <cell r="AE3519" t="str">
            <v>05 - ANULADA EN VIGENCIA</v>
          </cell>
          <cell r="AP3519">
            <v>16962979</v>
          </cell>
        </row>
        <row r="3520">
          <cell r="AE3520" t="str">
            <v>08 - VIGENCIA ANTERIOR</v>
          </cell>
          <cell r="AP3520">
            <v>33579</v>
          </cell>
        </row>
        <row r="3521">
          <cell r="AE3521" t="str">
            <v>01 - RENOVADA</v>
          </cell>
          <cell r="AP3521">
            <v>30045256</v>
          </cell>
        </row>
        <row r="3522">
          <cell r="AE3522" t="str">
            <v>05 - ANULADA EN VIGENCIA</v>
          </cell>
          <cell r="AP3522">
            <v>51690</v>
          </cell>
        </row>
        <row r="3523">
          <cell r="AE3523" t="str">
            <v>04 - NO RENOVADA</v>
          </cell>
          <cell r="AP3523">
            <v>3022400160347</v>
          </cell>
        </row>
        <row r="3524">
          <cell r="AE3524" t="str">
            <v>04 - NO RENOVADA</v>
          </cell>
          <cell r="AP3524">
            <v>3022400160357</v>
          </cell>
        </row>
        <row r="3525">
          <cell r="AE3525" t="str">
            <v>05 - ANULADA EN VIGENCIA</v>
          </cell>
          <cell r="AP3525">
            <v>17242858</v>
          </cell>
        </row>
        <row r="3526">
          <cell r="AE3526" t="str">
            <v>05 - ANULADA EN VIGENCIA</v>
          </cell>
          <cell r="AP3526">
            <v>1414410</v>
          </cell>
        </row>
        <row r="3527">
          <cell r="AE3527" t="str">
            <v>01 - RENOVADA</v>
          </cell>
          <cell r="AP3527">
            <v>70228301</v>
          </cell>
        </row>
        <row r="3528">
          <cell r="AE3528" t="str">
            <v>05 - ANULADA EN VIGENCIA</v>
          </cell>
          <cell r="AP3528">
            <v>129426899</v>
          </cell>
        </row>
        <row r="3529">
          <cell r="AE3529" t="str">
            <v>05 - ANULADA EN VIGENCIA</v>
          </cell>
          <cell r="AP3529">
            <v>17289460</v>
          </cell>
        </row>
        <row r="3530">
          <cell r="AE3530" t="str">
            <v>08 - VIGENCIA ANTERIOR</v>
          </cell>
          <cell r="AP3530">
            <v>30088350</v>
          </cell>
        </row>
        <row r="3531">
          <cell r="AE3531" t="str">
            <v>08 - VIGENCIA ANTERIOR</v>
          </cell>
          <cell r="AP3531">
            <v>30088352</v>
          </cell>
        </row>
        <row r="3532">
          <cell r="AE3532" t="str">
            <v>08 - VIGENCIA ANTERIOR</v>
          </cell>
          <cell r="AP3532">
            <v>1</v>
          </cell>
        </row>
        <row r="3533">
          <cell r="AE3533" t="str">
            <v>08 - VIGENCIA ANTERIOR</v>
          </cell>
          <cell r="AP3533" t="str">
            <v>3022400204364 </v>
          </cell>
        </row>
        <row r="3534">
          <cell r="AE3534" t="str">
            <v>05 - ANULADA EN VIGENCIA</v>
          </cell>
          <cell r="AP3534">
            <v>17291952</v>
          </cell>
        </row>
        <row r="3535">
          <cell r="AE3535" t="str">
            <v>05 - ANULADA EN VIGENCIA</v>
          </cell>
          <cell r="AP3535">
            <v>3970956</v>
          </cell>
        </row>
        <row r="3536">
          <cell r="AE3536" t="str">
            <v>05 - ANULADA EN VIGENCIA</v>
          </cell>
          <cell r="AP3536">
            <v>97288</v>
          </cell>
        </row>
        <row r="3537">
          <cell r="AE3537" t="str">
            <v>05 - ANULADA EN VIGENCIA</v>
          </cell>
          <cell r="AP3537">
            <v>18741505</v>
          </cell>
        </row>
        <row r="3538">
          <cell r="AE3538" t="str">
            <v>05 - ANULADA EN VIGENCIA</v>
          </cell>
          <cell r="AP3538">
            <v>3022400204364</v>
          </cell>
        </row>
        <row r="3539">
          <cell r="AE3539" t="str">
            <v>05 - ANULADA EN VIGENCIA</v>
          </cell>
          <cell r="AP3539">
            <v>3022400238616</v>
          </cell>
        </row>
        <row r="3540">
          <cell r="AE3540" t="str">
            <v>05 - ANULADA EN VIGENCIA</v>
          </cell>
          <cell r="AP3540">
            <v>16473808</v>
          </cell>
        </row>
        <row r="3541">
          <cell r="AE3541" t="str">
            <v>05 - ANULADA EN VIGENCIA</v>
          </cell>
          <cell r="AP3541">
            <v>2004872186</v>
          </cell>
        </row>
        <row r="3542">
          <cell r="AE3542" t="str">
            <v>05 - ANULADA EN VIGENCIA</v>
          </cell>
          <cell r="AP3542">
            <v>2004872400</v>
          </cell>
        </row>
        <row r="3543">
          <cell r="AE3543" t="str">
            <v>05 - ANULADA EN VIGENCIA</v>
          </cell>
          <cell r="AP3543">
            <v>2004872996</v>
          </cell>
        </row>
        <row r="3544">
          <cell r="AE3544" t="str">
            <v>04 - NO RENOVADA</v>
          </cell>
          <cell r="AP3544">
            <v>32933</v>
          </cell>
        </row>
        <row r="3545">
          <cell r="AE3545" t="str">
            <v>04 - NO RENOVADA</v>
          </cell>
          <cell r="AP3545">
            <v>1070314</v>
          </cell>
        </row>
        <row r="3546">
          <cell r="AE3546" t="str">
            <v>04 - NO RENOVADA</v>
          </cell>
          <cell r="AP3546">
            <v>30095650</v>
          </cell>
        </row>
        <row r="3547">
          <cell r="AE3547" t="str">
            <v>05 - ANULADA EN VIGENCIA</v>
          </cell>
          <cell r="AP3547">
            <v>67736</v>
          </cell>
        </row>
        <row r="3548">
          <cell r="AE3548" t="str">
            <v>05 - ANULADA EN VIGENCIA</v>
          </cell>
          <cell r="AP3548">
            <v>16488688</v>
          </cell>
        </row>
        <row r="3549">
          <cell r="AE3549" t="str">
            <v>05 - ANULADA EN VIGENCIA</v>
          </cell>
          <cell r="AP3549">
            <v>16488685</v>
          </cell>
        </row>
        <row r="3550">
          <cell r="AE3550" t="str">
            <v>04 - NO RENOVADA</v>
          </cell>
          <cell r="AP3550">
            <v>30303931</v>
          </cell>
        </row>
        <row r="3551">
          <cell r="AE3551" t="str">
            <v>05 - ANULADA EN VIGENCIA</v>
          </cell>
          <cell r="AP3551">
            <v>1280173</v>
          </cell>
        </row>
        <row r="3552">
          <cell r="AE3552" t="str">
            <v>05 - ANULADA EN VIGENCIA</v>
          </cell>
          <cell r="AP3552">
            <v>2004874668</v>
          </cell>
        </row>
        <row r="3553">
          <cell r="AE3553" t="str">
            <v>05 - ANULADA EN VIGENCIA</v>
          </cell>
          <cell r="AP3553">
            <v>2004874724</v>
          </cell>
        </row>
        <row r="3554">
          <cell r="AE3554" t="str">
            <v>04 - NO RENOVADA</v>
          </cell>
          <cell r="AP3554">
            <v>3022400336079</v>
          </cell>
        </row>
        <row r="3555">
          <cell r="AE3555" t="str">
            <v>05 - ANULADA EN VIGENCIA</v>
          </cell>
          <cell r="AP3555">
            <v>4004001346</v>
          </cell>
        </row>
        <row r="3556">
          <cell r="AE3556" t="str">
            <v>05 - ANULADA EN VIGENCIA</v>
          </cell>
          <cell r="AP3556">
            <v>16511233</v>
          </cell>
        </row>
        <row r="3557">
          <cell r="AE3557" t="str">
            <v>04 - NO RENOVADA</v>
          </cell>
          <cell r="AP3557">
            <v>94916</v>
          </cell>
        </row>
        <row r="3558">
          <cell r="AE3558" t="str">
            <v>03 - PENDIENTE</v>
          </cell>
          <cell r="AP3558">
            <v>228658</v>
          </cell>
        </row>
        <row r="3559">
          <cell r="AE3559" t="str">
            <v>05 - ANULADA EN VIGENCIA</v>
          </cell>
          <cell r="AP3559">
            <v>1161810101458</v>
          </cell>
        </row>
        <row r="3560">
          <cell r="AE3560" t="str">
            <v>04 - NO RENOVADA</v>
          </cell>
          <cell r="AP3560">
            <v>17089501</v>
          </cell>
        </row>
        <row r="3561">
          <cell r="AE3561" t="str">
            <v>01 - RENOVADA</v>
          </cell>
          <cell r="AP3561">
            <v>17089628</v>
          </cell>
        </row>
        <row r="3562">
          <cell r="AE3562" t="str">
            <v>04 - NO RENOVADA</v>
          </cell>
          <cell r="AP3562">
            <v>62068168</v>
          </cell>
        </row>
        <row r="3563">
          <cell r="AE3563" t="str">
            <v>05 - ANULADA EN VIGENCIA</v>
          </cell>
          <cell r="AP3563">
            <v>68501</v>
          </cell>
        </row>
        <row r="3564">
          <cell r="AE3564" t="str">
            <v>05 - ANULADA EN VIGENCIA</v>
          </cell>
          <cell r="AP3564">
            <v>967114576</v>
          </cell>
        </row>
        <row r="3565">
          <cell r="AE3565" t="str">
            <v>05 - ANULADA EN VIGENCIA</v>
          </cell>
          <cell r="AP3565">
            <v>17526233</v>
          </cell>
        </row>
        <row r="3566">
          <cell r="AE3566" t="str">
            <v>05 - ANULADA EN VIGENCIA</v>
          </cell>
          <cell r="AP3566">
            <v>17527341</v>
          </cell>
        </row>
        <row r="3567">
          <cell r="AE3567" t="str">
            <v>01 - RENOVADA</v>
          </cell>
          <cell r="AP3567">
            <v>6389743</v>
          </cell>
        </row>
        <row r="3568">
          <cell r="AE3568" t="str">
            <v>04 - NO RENOVADA</v>
          </cell>
          <cell r="AP3568">
            <v>30077377</v>
          </cell>
        </row>
        <row r="3569">
          <cell r="AE3569" t="str">
            <v>05 - ANULADA EN VIGENCIA</v>
          </cell>
          <cell r="AP3569">
            <v>16544226</v>
          </cell>
        </row>
        <row r="3570">
          <cell r="AE3570" t="str">
            <v>08 - VIGENCIA ANTERIOR</v>
          </cell>
          <cell r="AP3570">
            <v>1304336</v>
          </cell>
        </row>
        <row r="3571">
          <cell r="AE3571" t="str">
            <v>05 - ANULADA EN VIGENCIA</v>
          </cell>
          <cell r="AP3571">
            <v>1475821</v>
          </cell>
        </row>
        <row r="3572">
          <cell r="AE3572" t="str">
            <v>03 - PENDIENTE</v>
          </cell>
          <cell r="AP3572">
            <v>1475937</v>
          </cell>
        </row>
        <row r="3573">
          <cell r="AE3573" t="str">
            <v>03 - PENDIENTE</v>
          </cell>
          <cell r="AP3573">
            <v>3022400435187</v>
          </cell>
        </row>
        <row r="3574">
          <cell r="AE3574" t="str">
            <v>03 - PENDIENTE</v>
          </cell>
          <cell r="AP3574">
            <v>3022400435206</v>
          </cell>
        </row>
        <row r="3575">
          <cell r="AE3575" t="str">
            <v>03 - PENDIENTE</v>
          </cell>
          <cell r="AP3575">
            <v>3022400431386</v>
          </cell>
        </row>
        <row r="3576">
          <cell r="AE3576" t="str">
            <v>03 - PENDIENTE</v>
          </cell>
          <cell r="AP3576">
            <v>3022400435227</v>
          </cell>
        </row>
        <row r="3577">
          <cell r="AE3577" t="str">
            <v>03 - PENDIENTE</v>
          </cell>
          <cell r="AP3577">
            <v>3022400431443</v>
          </cell>
        </row>
        <row r="3578">
          <cell r="AE3578" t="str">
            <v>03 - PENDIENTE</v>
          </cell>
          <cell r="AP3578">
            <v>3022400435240</v>
          </cell>
        </row>
        <row r="3579">
          <cell r="AE3579" t="str">
            <v>03 - PENDIENTE</v>
          </cell>
          <cell r="AP3579">
            <v>3022400431412</v>
          </cell>
        </row>
        <row r="3580">
          <cell r="AE3580" t="str">
            <v>05 - ANULADA EN VIGENCIA</v>
          </cell>
          <cell r="AP3580">
            <v>87504</v>
          </cell>
        </row>
        <row r="3581">
          <cell r="AE3581" t="str">
            <v>03 - PENDIENTE</v>
          </cell>
          <cell r="AP3581">
            <v>70202045</v>
          </cell>
        </row>
        <row r="3582">
          <cell r="AE3582" t="str">
            <v>03 - PENDIENTE</v>
          </cell>
          <cell r="AP3582">
            <v>3022400431373</v>
          </cell>
        </row>
        <row r="3583">
          <cell r="AE3583" t="str">
            <v>05 - ANULADA EN VIGENCIA</v>
          </cell>
          <cell r="AP3583">
            <v>69290</v>
          </cell>
        </row>
        <row r="3584">
          <cell r="AE3584" t="str">
            <v>05 - ANULADA EN VIGENCIA</v>
          </cell>
          <cell r="AP3584">
            <v>5089</v>
          </cell>
        </row>
        <row r="3585">
          <cell r="AE3585" t="str">
            <v>05 - ANULADA EN VIGENCIA</v>
          </cell>
          <cell r="AP3585">
            <v>3011400010542</v>
          </cell>
        </row>
        <row r="3586">
          <cell r="AE3586" t="str">
            <v>05 - ANULADA EN VIGENCIA</v>
          </cell>
          <cell r="AP3586">
            <v>101602</v>
          </cell>
        </row>
        <row r="3587">
          <cell r="AE3587" t="str">
            <v>05 - ANULADA EN VIGENCIA</v>
          </cell>
          <cell r="AP3587">
            <v>62074561</v>
          </cell>
        </row>
        <row r="3588">
          <cell r="AE3588" t="str">
            <v>08 - VIGENCIA ANTERIOR</v>
          </cell>
          <cell r="AP3588">
            <v>7661</v>
          </cell>
        </row>
        <row r="3589">
          <cell r="AE3589" t="str">
            <v>01 - RENOVADA</v>
          </cell>
          <cell r="AP3589">
            <v>10938</v>
          </cell>
        </row>
        <row r="3590">
          <cell r="AE3590" t="str">
            <v>04 - NO RENOVADA</v>
          </cell>
          <cell r="AP3590">
            <v>63343</v>
          </cell>
        </row>
        <row r="3591">
          <cell r="AE3591" t="str">
            <v>04 - NO RENOVADA</v>
          </cell>
          <cell r="AP3591">
            <v>62038968</v>
          </cell>
        </row>
        <row r="3592">
          <cell r="AE3592" t="str">
            <v>04 - NO RENOVADA</v>
          </cell>
          <cell r="AP3592">
            <v>2031859900047</v>
          </cell>
        </row>
        <row r="3593">
          <cell r="AE3593" t="str">
            <v>04 - NO RENOVADA</v>
          </cell>
          <cell r="AP3593">
            <v>2221859900022</v>
          </cell>
        </row>
        <row r="3594">
          <cell r="AE3594" t="str">
            <v>04 - NO RENOVADA</v>
          </cell>
          <cell r="AP3594">
            <v>94038563</v>
          </cell>
        </row>
        <row r="3595">
          <cell r="AE3595" t="str">
            <v>05 - ANULADA EN VIGENCIA</v>
          </cell>
          <cell r="AP3595">
            <v>16605841</v>
          </cell>
        </row>
        <row r="3596">
          <cell r="AE3596" t="str">
            <v>05 - ANULADA EN VIGENCIA</v>
          </cell>
          <cell r="AP3596">
            <v>16605851</v>
          </cell>
        </row>
        <row r="3597">
          <cell r="AE3597" t="str">
            <v>05 - ANULADA EN VIGENCIA</v>
          </cell>
          <cell r="AP3597">
            <v>16605878</v>
          </cell>
        </row>
        <row r="3598">
          <cell r="AE3598" t="str">
            <v>05 - ANULADA EN VIGENCIA</v>
          </cell>
          <cell r="AP3598">
            <v>16646921</v>
          </cell>
        </row>
        <row r="3599">
          <cell r="AE3599" t="str">
            <v>05 - ANULADA EN VIGENCIA</v>
          </cell>
          <cell r="AP3599">
            <v>16605837</v>
          </cell>
        </row>
        <row r="3600">
          <cell r="AE3600" t="str">
            <v>03 - PENDIENTE</v>
          </cell>
          <cell r="AP3600">
            <v>620100550</v>
          </cell>
        </row>
        <row r="3601">
          <cell r="AE3601" t="str">
            <v>02 - EN PROCESO</v>
          </cell>
          <cell r="AP3601">
            <v>1128870</v>
          </cell>
        </row>
        <row r="3602">
          <cell r="AE3602" t="str">
            <v>03 - PENDIENTE</v>
          </cell>
          <cell r="AP3602">
            <v>1300401814</v>
          </cell>
        </row>
        <row r="3603">
          <cell r="AE3603" t="str">
            <v>08 - VIGENCIA ANTERIOR</v>
          </cell>
          <cell r="AP3603">
            <v>1074406</v>
          </cell>
        </row>
        <row r="3604">
          <cell r="AE3604" t="str">
            <v>04 - NO RENOVADA</v>
          </cell>
          <cell r="AP3604">
            <v>540437</v>
          </cell>
        </row>
        <row r="3605">
          <cell r="AE3605" t="str">
            <v>08 - VIGENCIA ANTERIOR</v>
          </cell>
          <cell r="AP3605">
            <v>547586</v>
          </cell>
        </row>
        <row r="3606">
          <cell r="AE3606" t="str">
            <v>04 - NO RENOVADA</v>
          </cell>
          <cell r="AP3606">
            <v>510255</v>
          </cell>
        </row>
        <row r="3607">
          <cell r="AE3607" t="str">
            <v>04 - NO RENOVADA</v>
          </cell>
          <cell r="AP3607">
            <v>550988</v>
          </cell>
        </row>
        <row r="3608">
          <cell r="AE3608" t="str">
            <v>04 - NO RENOVADA</v>
          </cell>
          <cell r="AP3608">
            <v>509573</v>
          </cell>
        </row>
        <row r="3609">
          <cell r="AE3609" t="str">
            <v>04 - NO RENOVADA</v>
          </cell>
          <cell r="AP3609">
            <v>508632</v>
          </cell>
        </row>
        <row r="3610">
          <cell r="AE3610" t="str">
            <v>01 - RENOVADA</v>
          </cell>
          <cell r="AP3610">
            <v>1453174</v>
          </cell>
        </row>
        <row r="3611">
          <cell r="AE3611" t="str">
            <v>05 - ANULADA EN VIGENCIA</v>
          </cell>
          <cell r="AP3611">
            <v>20755</v>
          </cell>
        </row>
        <row r="3612">
          <cell r="AE3612" t="str">
            <v>01 - RENOVADA</v>
          </cell>
          <cell r="AP3612">
            <v>2032512200148</v>
          </cell>
        </row>
        <row r="3613">
          <cell r="AE3613" t="str">
            <v>01 - RENOVADA</v>
          </cell>
          <cell r="AP3613">
            <v>2222512200024</v>
          </cell>
        </row>
        <row r="3614">
          <cell r="AE3614" t="str">
            <v>01 - RENOVADA</v>
          </cell>
          <cell r="AP3614">
            <v>2402512200111</v>
          </cell>
        </row>
        <row r="3615">
          <cell r="AE3615" t="str">
            <v>01 - RENOVADA</v>
          </cell>
          <cell r="AP3615">
            <v>2502512200008</v>
          </cell>
        </row>
        <row r="3616">
          <cell r="AE3616" t="str">
            <v>01 - RENOVADA</v>
          </cell>
          <cell r="AP3616">
            <v>2522523000002</v>
          </cell>
        </row>
        <row r="3617">
          <cell r="AE3617" t="str">
            <v>01 - RENOVADA</v>
          </cell>
          <cell r="AP3617">
            <v>75504</v>
          </cell>
        </row>
        <row r="3618">
          <cell r="AE3618" t="str">
            <v>03 - PENDIENTE</v>
          </cell>
          <cell r="AP3618">
            <v>1484085</v>
          </cell>
        </row>
        <row r="3619">
          <cell r="AE3619" t="str">
            <v>01 - RENOVADA</v>
          </cell>
          <cell r="AP3619">
            <v>15410441</v>
          </cell>
        </row>
        <row r="3620">
          <cell r="AE3620" t="str">
            <v>01 - RENOVADA</v>
          </cell>
          <cell r="AP3620">
            <v>2011849846</v>
          </cell>
        </row>
        <row r="3621">
          <cell r="AE3621" t="str">
            <v>01 - RENOVADA</v>
          </cell>
          <cell r="AP3621">
            <v>2011849853</v>
          </cell>
        </row>
        <row r="3622">
          <cell r="AE3622" t="str">
            <v>01 - RENOVADA</v>
          </cell>
          <cell r="AP3622">
            <v>2011849856</v>
          </cell>
        </row>
        <row r="3623">
          <cell r="AE3623" t="str">
            <v>01 - RENOVADA</v>
          </cell>
          <cell r="AP3623">
            <v>2011854790</v>
          </cell>
        </row>
        <row r="3624">
          <cell r="AE3624" t="str">
            <v>01 - RENOVADA</v>
          </cell>
          <cell r="AP3624">
            <v>2011849851</v>
          </cell>
        </row>
        <row r="3625">
          <cell r="AE3625" t="str">
            <v>01 - RENOVADA</v>
          </cell>
          <cell r="AP3625">
            <v>2011923323</v>
          </cell>
        </row>
        <row r="3626">
          <cell r="AE3626" t="str">
            <v>01 - RENOVADA</v>
          </cell>
          <cell r="AP3626">
            <v>2011923332</v>
          </cell>
        </row>
        <row r="3627">
          <cell r="AE3627" t="str">
            <v>01 - RENOVADA</v>
          </cell>
          <cell r="AP3627">
            <v>2011946409</v>
          </cell>
        </row>
        <row r="3628">
          <cell r="AE3628" t="str">
            <v>03 - PENDIENTE</v>
          </cell>
          <cell r="AP3628">
            <v>2011980713</v>
          </cell>
        </row>
        <row r="3629">
          <cell r="AE3629" t="str">
            <v>03 - PENDIENTE</v>
          </cell>
          <cell r="AP3629">
            <v>2011987771</v>
          </cell>
        </row>
        <row r="3630">
          <cell r="AE3630" t="str">
            <v>03 - PENDIENTE</v>
          </cell>
          <cell r="AP3630">
            <v>2011987826</v>
          </cell>
        </row>
        <row r="3631">
          <cell r="AE3631" t="str">
            <v>04 - NO RENOVADA</v>
          </cell>
          <cell r="AP3631">
            <v>19406462</v>
          </cell>
        </row>
        <row r="3632">
          <cell r="AE3632" t="str">
            <v>04 - NO RENOVADA</v>
          </cell>
          <cell r="AP3632">
            <v>555398</v>
          </cell>
        </row>
        <row r="3633">
          <cell r="AE3633" t="str">
            <v>04 - NO RENOVADA</v>
          </cell>
          <cell r="AP3633">
            <v>220025241</v>
          </cell>
        </row>
        <row r="3634">
          <cell r="AE3634" t="str">
            <v>04 - NO RENOVADA</v>
          </cell>
          <cell r="AP3634">
            <v>1000192364</v>
          </cell>
        </row>
        <row r="3635">
          <cell r="AE3635" t="str">
            <v>04 - NO RENOVADA</v>
          </cell>
          <cell r="AP3635">
            <v>661571</v>
          </cell>
        </row>
        <row r="3636">
          <cell r="AE3636" t="str">
            <v>04 - NO RENOVADA</v>
          </cell>
          <cell r="AP3636">
            <v>19865087</v>
          </cell>
        </row>
        <row r="3637">
          <cell r="AE3637" t="str">
            <v>04 - NO RENOVADA</v>
          </cell>
          <cell r="AP3637">
            <v>554669</v>
          </cell>
        </row>
        <row r="3638">
          <cell r="AE3638" t="str">
            <v>04 - NO RENOVADA</v>
          </cell>
          <cell r="AP3638">
            <v>20822759</v>
          </cell>
        </row>
        <row r="3639">
          <cell r="AE3639" t="str">
            <v>04 - NO RENOVADA</v>
          </cell>
          <cell r="AP3639">
            <v>555589</v>
          </cell>
        </row>
        <row r="3640">
          <cell r="AE3640" t="str">
            <v>04 - NO RENOVADA</v>
          </cell>
          <cell r="AP3640">
            <v>18828016</v>
          </cell>
        </row>
        <row r="3641">
          <cell r="AE3641" t="str">
            <v>04 - NO RENOVADA</v>
          </cell>
          <cell r="AP3641">
            <v>555068</v>
          </cell>
        </row>
        <row r="3642">
          <cell r="AE3642" t="str">
            <v>04 - NO RENOVADA</v>
          </cell>
          <cell r="AP3642">
            <v>21481717</v>
          </cell>
        </row>
        <row r="3643">
          <cell r="AE3643" t="str">
            <v>04 - NO RENOVADA</v>
          </cell>
          <cell r="AP3643">
            <v>230251557</v>
          </cell>
        </row>
        <row r="3644">
          <cell r="AE3644" t="str">
            <v>04 - NO RENOVADA</v>
          </cell>
          <cell r="AP3644">
            <v>555279</v>
          </cell>
        </row>
        <row r="3645">
          <cell r="AE3645" t="str">
            <v>04 - NO RENOVADA</v>
          </cell>
          <cell r="AP3645">
            <v>555963</v>
          </cell>
        </row>
        <row r="3646">
          <cell r="AE3646" t="str">
            <v>01 - RENOVADA</v>
          </cell>
          <cell r="AP3646">
            <v>16901349</v>
          </cell>
        </row>
        <row r="3647">
          <cell r="AE3647" t="str">
            <v>04 - NO RENOVADA</v>
          </cell>
          <cell r="AP3647">
            <v>220026283</v>
          </cell>
        </row>
        <row r="3648">
          <cell r="AE3648" t="str">
            <v>08 - VIGENCIA ANTERIOR</v>
          </cell>
          <cell r="AP3648">
            <v>3022200071630</v>
          </cell>
        </row>
        <row r="3649">
          <cell r="AE3649" t="str">
            <v>04 - NO RENOVADA</v>
          </cell>
          <cell r="AP3649">
            <v>3764</v>
          </cell>
        </row>
        <row r="3650">
          <cell r="AE3650" t="str">
            <v>01 - RENOVADA</v>
          </cell>
          <cell r="AP3650">
            <v>70216392</v>
          </cell>
        </row>
        <row r="3651">
          <cell r="AE3651" t="str">
            <v>01 - RENOVADA</v>
          </cell>
          <cell r="AP3651">
            <v>70219969</v>
          </cell>
        </row>
        <row r="3652">
          <cell r="AE3652" t="str">
            <v>01 - RENOVADA</v>
          </cell>
          <cell r="AP3652">
            <v>70219971</v>
          </cell>
        </row>
        <row r="3653">
          <cell r="AE3653" t="str">
            <v>08 - VIGENCIA ANTERIOR</v>
          </cell>
          <cell r="AP3653">
            <v>3022100135652</v>
          </cell>
        </row>
        <row r="3654">
          <cell r="AE3654" t="str">
            <v>08 - VIGENCIA ANTERIOR</v>
          </cell>
          <cell r="AP3654">
            <v>3022100135663</v>
          </cell>
        </row>
        <row r="3655">
          <cell r="AE3655" t="str">
            <v>08 - VIGENCIA ANTERIOR</v>
          </cell>
          <cell r="AP3655">
            <v>3022200137104</v>
          </cell>
        </row>
        <row r="3656">
          <cell r="AE3656" t="str">
            <v>05 - ANULADA EN VIGENCIA</v>
          </cell>
          <cell r="AP3656">
            <v>70225907</v>
          </cell>
        </row>
        <row r="3657">
          <cell r="AE3657" t="str">
            <v>01 - RENOVADA</v>
          </cell>
          <cell r="AP3657">
            <v>70225903</v>
          </cell>
        </row>
        <row r="3658">
          <cell r="AE3658" t="str">
            <v>01 - RENOVADA</v>
          </cell>
          <cell r="AP3658">
            <v>70225905</v>
          </cell>
        </row>
        <row r="3659">
          <cell r="AE3659" t="str">
            <v>01 - RENOVADA</v>
          </cell>
          <cell r="AP3659">
            <v>6000029247</v>
          </cell>
        </row>
        <row r="3660">
          <cell r="AE3660" t="str">
            <v>01 - RENOVADA</v>
          </cell>
          <cell r="AP3660">
            <v>70239812</v>
          </cell>
        </row>
        <row r="3661">
          <cell r="AE3661" t="str">
            <v>08 - VIGENCIA ANTERIOR</v>
          </cell>
          <cell r="AP3661">
            <v>3022100239274</v>
          </cell>
        </row>
        <row r="3662">
          <cell r="AE3662" t="str">
            <v>08 - VIGENCIA ANTERIOR</v>
          </cell>
          <cell r="AP3662">
            <v>3022100239310</v>
          </cell>
        </row>
        <row r="3663">
          <cell r="AE3663" t="str">
            <v>01 - RENOVADA</v>
          </cell>
          <cell r="AP3663">
            <v>6000029247</v>
          </cell>
        </row>
        <row r="3664">
          <cell r="AE3664" t="str">
            <v>01 - RENOVADA</v>
          </cell>
          <cell r="AP3664">
            <v>7011359900862</v>
          </cell>
        </row>
        <row r="3665">
          <cell r="AE3665" t="str">
            <v>01 - RENOVADA</v>
          </cell>
          <cell r="AP3665">
            <v>7021310132175</v>
          </cell>
        </row>
        <row r="3666">
          <cell r="AE3666" t="str">
            <v>08 - VIGENCIA ANTERIOR</v>
          </cell>
          <cell r="AP3666">
            <v>2401210100247</v>
          </cell>
        </row>
        <row r="3667">
          <cell r="AE3667" t="str">
            <v>03 - PENDIENTE</v>
          </cell>
          <cell r="AP3667">
            <v>70199921</v>
          </cell>
        </row>
        <row r="3668">
          <cell r="AE3668" t="str">
            <v>03 - PENDIENTE</v>
          </cell>
          <cell r="AP3668">
            <v>19886122</v>
          </cell>
        </row>
        <row r="3669">
          <cell r="AE3669" t="str">
            <v>03 - PENDIENTE</v>
          </cell>
          <cell r="AP3669">
            <v>2031210100517</v>
          </cell>
        </row>
        <row r="3670">
          <cell r="AE3670" t="str">
            <v>03 - PENDIENTE</v>
          </cell>
          <cell r="AP3670">
            <v>2221210100198</v>
          </cell>
        </row>
        <row r="3671">
          <cell r="AE3671" t="str">
            <v>03 - PENDIENTE</v>
          </cell>
          <cell r="AP3671">
            <v>2402315800323</v>
          </cell>
        </row>
        <row r="3672">
          <cell r="AE3672" t="str">
            <v>03 - PENDIENTE</v>
          </cell>
          <cell r="AP3672">
            <v>19886122</v>
          </cell>
        </row>
        <row r="3673">
          <cell r="AE3673" t="str">
            <v>05 - ANULADA EN VIGENCIA</v>
          </cell>
          <cell r="AP3673">
            <v>2006677210</v>
          </cell>
        </row>
        <row r="3674">
          <cell r="AE3674" t="str">
            <v>05 - ANULADA EN VIGENCIA</v>
          </cell>
          <cell r="AP3674">
            <v>6000020239</v>
          </cell>
        </row>
        <row r="3675">
          <cell r="AE3675" t="str">
            <v>05 - ANULADA EN VIGENCIA</v>
          </cell>
          <cell r="AP3675">
            <v>25781</v>
          </cell>
        </row>
        <row r="3676">
          <cell r="AE3676" t="str">
            <v>05 - ANULADA EN VIGENCIA</v>
          </cell>
          <cell r="AP3676">
            <v>62090064</v>
          </cell>
        </row>
        <row r="3677">
          <cell r="AE3677" t="str">
            <v>01 - RENOVADA</v>
          </cell>
          <cell r="AP3677">
            <v>20209641</v>
          </cell>
        </row>
        <row r="3678">
          <cell r="AE3678" t="str">
            <v>04 - NO RENOVADA</v>
          </cell>
          <cell r="AP3678">
            <v>2032415800006</v>
          </cell>
        </row>
        <row r="3679">
          <cell r="AE3679" t="str">
            <v>04 - NO RENOVADA</v>
          </cell>
          <cell r="AP3679">
            <v>2102415800005</v>
          </cell>
        </row>
        <row r="3680">
          <cell r="AE3680" t="str">
            <v>04 - NO RENOVADA</v>
          </cell>
          <cell r="AP3680">
            <v>2402415800028</v>
          </cell>
        </row>
        <row r="3681">
          <cell r="AE3681" t="str">
            <v>01 - RENOVADA</v>
          </cell>
          <cell r="AP3681">
            <v>2402210101938</v>
          </cell>
        </row>
        <row r="3682">
          <cell r="AE3682" t="str">
            <v>01 - RENOVADA</v>
          </cell>
          <cell r="AP3682">
            <v>10710</v>
          </cell>
        </row>
        <row r="3683">
          <cell r="AE3683" t="str">
            <v>01 - RENOVADA</v>
          </cell>
          <cell r="AP3683">
            <v>2402210800284</v>
          </cell>
        </row>
        <row r="3684">
          <cell r="AE3684" t="str">
            <v>01 - RENOVADA</v>
          </cell>
          <cell r="AP3684">
            <v>2402110102526</v>
          </cell>
        </row>
        <row r="3685">
          <cell r="AE3685" t="str">
            <v>03 - PENDIENTE</v>
          </cell>
          <cell r="AP3685">
            <v>600183559</v>
          </cell>
        </row>
        <row r="3686">
          <cell r="AE3686" t="str">
            <v>05 - ANULADA EN VIGENCIA</v>
          </cell>
          <cell r="AP3686">
            <v>46321</v>
          </cell>
        </row>
        <row r="3687">
          <cell r="AE3687" t="str">
            <v>05 - ANULADA EN VIGENCIA</v>
          </cell>
          <cell r="AP3687" t="str">
            <v>E0001694</v>
          </cell>
        </row>
        <row r="3688">
          <cell r="AE3688" t="str">
            <v>04 - NO RENOVADA</v>
          </cell>
          <cell r="AP3688">
            <v>2004341544</v>
          </cell>
        </row>
        <row r="3689">
          <cell r="AE3689" t="str">
            <v>04 - NO RENOVADA</v>
          </cell>
          <cell r="AP3689">
            <v>62080441</v>
          </cell>
        </row>
        <row r="3690">
          <cell r="AE3690" t="str">
            <v>01 - RENOVADA</v>
          </cell>
          <cell r="AP3690">
            <v>252</v>
          </cell>
        </row>
        <row r="3691">
          <cell r="AE3691" t="str">
            <v>01 - RENOVADA</v>
          </cell>
          <cell r="AP3691" t="str">
            <v>P0278988</v>
          </cell>
        </row>
        <row r="3692">
          <cell r="AE3692" t="str">
            <v>01 - RENOVADA</v>
          </cell>
          <cell r="AP3692" t="str">
            <v>S0336735</v>
          </cell>
        </row>
        <row r="3693">
          <cell r="AE3693" t="str">
            <v>01 - RENOVADA</v>
          </cell>
          <cell r="AP3693">
            <v>16812524</v>
          </cell>
        </row>
        <row r="3694">
          <cell r="AE3694" t="str">
            <v>01 - RENOVADA</v>
          </cell>
          <cell r="AP3694">
            <v>1300356735</v>
          </cell>
        </row>
        <row r="3695">
          <cell r="AE3695" t="str">
            <v>03 - PENDIENTE</v>
          </cell>
          <cell r="AP3695">
            <v>1300184191</v>
          </cell>
        </row>
        <row r="3696">
          <cell r="AE3696" t="str">
            <v>01 - RENOVADA</v>
          </cell>
          <cell r="AP3696">
            <v>10235</v>
          </cell>
        </row>
        <row r="3697">
          <cell r="AE3697" t="str">
            <v>05 - ANULADA EN VIGENCIA</v>
          </cell>
          <cell r="AP3697">
            <v>2006672514</v>
          </cell>
        </row>
        <row r="3698">
          <cell r="AE3698" t="str">
            <v>05 - ANULADA EN VIGENCIA</v>
          </cell>
          <cell r="AP3698">
            <v>2008098045</v>
          </cell>
        </row>
        <row r="3699">
          <cell r="AE3699" t="str">
            <v>05 - ANULADA EN VIGENCIA</v>
          </cell>
          <cell r="AP3699">
            <v>2006840674</v>
          </cell>
        </row>
        <row r="3700">
          <cell r="AE3700" t="str">
            <v>05 - ANULADA EN VIGENCIA</v>
          </cell>
          <cell r="AP3700">
            <v>2007105277</v>
          </cell>
        </row>
        <row r="3701">
          <cell r="AE3701" t="str">
            <v>05 - ANULADA EN VIGENCIA</v>
          </cell>
          <cell r="AP3701">
            <v>2008999657</v>
          </cell>
        </row>
        <row r="3702">
          <cell r="AE3702" t="str">
            <v>05 - ANULADA EN VIGENCIA</v>
          </cell>
          <cell r="AP3702">
            <v>2007105279</v>
          </cell>
        </row>
        <row r="3703">
          <cell r="AE3703" t="str">
            <v>05 - ANULADA EN VIGENCIA</v>
          </cell>
          <cell r="AP3703">
            <v>2007556208</v>
          </cell>
        </row>
        <row r="3704">
          <cell r="AE3704" t="str">
            <v>05 - ANULADA EN VIGENCIA</v>
          </cell>
          <cell r="AP3704">
            <v>2007556215</v>
          </cell>
        </row>
        <row r="3705">
          <cell r="AE3705" t="str">
            <v>05 - ANULADA EN VIGENCIA</v>
          </cell>
          <cell r="AP3705">
            <v>2007556203</v>
          </cell>
        </row>
        <row r="3706">
          <cell r="AE3706" t="str">
            <v>05 - ANULADA EN VIGENCIA</v>
          </cell>
          <cell r="AP3706">
            <v>2007556222</v>
          </cell>
        </row>
        <row r="3707">
          <cell r="AE3707" t="str">
            <v>05 - ANULADA EN VIGENCIA</v>
          </cell>
          <cell r="AP3707">
            <v>593199669</v>
          </cell>
        </row>
        <row r="3708">
          <cell r="AE3708" t="str">
            <v>05 - ANULADA EN VIGENCIA</v>
          </cell>
          <cell r="AP3708">
            <v>593199699</v>
          </cell>
        </row>
        <row r="3709">
          <cell r="AE3709" t="str">
            <v>05 - ANULADA EN VIGENCIA</v>
          </cell>
          <cell r="AP3709">
            <v>2009076023</v>
          </cell>
        </row>
        <row r="3710">
          <cell r="AE3710" t="str">
            <v>05 - ANULADA EN VIGENCIA</v>
          </cell>
          <cell r="AP3710">
            <v>2009076018</v>
          </cell>
        </row>
        <row r="3711">
          <cell r="AE3711" t="str">
            <v>05 - ANULADA EN VIGENCIA</v>
          </cell>
          <cell r="AP3711">
            <v>2007663558</v>
          </cell>
        </row>
        <row r="3712">
          <cell r="AE3712" t="str">
            <v>05 - ANULADA EN VIGENCIA</v>
          </cell>
          <cell r="AP3712">
            <v>2009203141</v>
          </cell>
        </row>
        <row r="3713">
          <cell r="AE3713" t="str">
            <v>05 - ANULADA EN VIGENCIA</v>
          </cell>
          <cell r="AP3713">
            <v>323</v>
          </cell>
        </row>
        <row r="3714">
          <cell r="AE3714" t="str">
            <v>05 - ANULADA EN VIGENCIA</v>
          </cell>
          <cell r="AP3714">
            <v>3103</v>
          </cell>
        </row>
        <row r="3715">
          <cell r="AE3715" t="str">
            <v>05 - ANULADA EN VIGENCIA</v>
          </cell>
          <cell r="AP3715" t="str">
            <v>E0017239</v>
          </cell>
        </row>
        <row r="3716">
          <cell r="AE3716" t="str">
            <v>07 - DEVUELTO A AON</v>
          </cell>
          <cell r="AP3716">
            <v>8473</v>
          </cell>
        </row>
        <row r="3717">
          <cell r="AE3717" t="str">
            <v>07 - DEVUELTO A AON</v>
          </cell>
          <cell r="AP3717">
            <v>9060</v>
          </cell>
        </row>
        <row r="3718">
          <cell r="AE3718" t="str">
            <v>07 - DEVUELTO A AON</v>
          </cell>
          <cell r="AP3718" t="str">
            <v>S/N</v>
          </cell>
        </row>
        <row r="3719">
          <cell r="AE3719" t="str">
            <v>05 - ANULADA EN VIGENCIA</v>
          </cell>
          <cell r="AP3719">
            <v>504127</v>
          </cell>
        </row>
        <row r="3720">
          <cell r="AE3720" t="str">
            <v>08 - VIGENCIA ANTERIOR</v>
          </cell>
          <cell r="AP3720">
            <v>1063702</v>
          </cell>
        </row>
        <row r="3721">
          <cell r="AE3721" t="str">
            <v>04 - NO RENOVADA</v>
          </cell>
          <cell r="AP3721">
            <v>1262865</v>
          </cell>
        </row>
        <row r="3722">
          <cell r="AE3722" t="str">
            <v>07 - DEVUELTO A AON</v>
          </cell>
          <cell r="AP3722">
            <v>757044</v>
          </cell>
        </row>
        <row r="3723">
          <cell r="AE3723" t="str">
            <v>07 - DEVUELTO A AON</v>
          </cell>
          <cell r="AP3723">
            <v>1126713</v>
          </cell>
        </row>
        <row r="3724">
          <cell r="AE3724" t="str">
            <v>07 - DEVUELTO A AON</v>
          </cell>
          <cell r="AP3724">
            <v>14104835</v>
          </cell>
        </row>
        <row r="3725">
          <cell r="AE3725" t="str">
            <v>07 - DEVUELTO A AON</v>
          </cell>
          <cell r="AP3725">
            <v>16604845</v>
          </cell>
        </row>
        <row r="3726">
          <cell r="AE3726" t="str">
            <v>07 - DEVUELTO A AON</v>
          </cell>
          <cell r="AP3726">
            <v>7250322</v>
          </cell>
        </row>
        <row r="3727">
          <cell r="AE3727" t="str">
            <v>07 - DEVUELTO A AON</v>
          </cell>
          <cell r="AP3727">
            <v>1096698</v>
          </cell>
        </row>
        <row r="3728">
          <cell r="AE3728" t="str">
            <v>01 - RENOVADA</v>
          </cell>
          <cell r="AP3728">
            <v>2011379888</v>
          </cell>
        </row>
        <row r="3729">
          <cell r="AE3729" t="str">
            <v>01 - RENOVADA</v>
          </cell>
          <cell r="AP3729">
            <v>2011368079</v>
          </cell>
        </row>
        <row r="3730">
          <cell r="AE3730" t="str">
            <v>01 - RENOVADA</v>
          </cell>
          <cell r="AP3730">
            <v>416406</v>
          </cell>
        </row>
        <row r="3731">
          <cell r="AE3731" t="str">
            <v>04 - NO RENOVADA</v>
          </cell>
          <cell r="AP3731">
            <v>10055</v>
          </cell>
        </row>
        <row r="3732">
          <cell r="AE3732" t="str">
            <v>07 - DEVUELTO A AON</v>
          </cell>
          <cell r="AP3732">
            <v>4001</v>
          </cell>
        </row>
        <row r="3733">
          <cell r="AE3733" t="str">
            <v>05 - ANULADA EN VIGENCIA</v>
          </cell>
          <cell r="AP3733">
            <v>128050</v>
          </cell>
        </row>
        <row r="3734">
          <cell r="AE3734" t="str">
            <v>05 - ANULADA EN VIGENCIA</v>
          </cell>
          <cell r="AP3734">
            <v>612031840</v>
          </cell>
        </row>
        <row r="3735">
          <cell r="AE3735" t="str">
            <v>05 - ANULADA EN VIGENCIA</v>
          </cell>
          <cell r="AP3735">
            <v>612153278</v>
          </cell>
        </row>
        <row r="3736">
          <cell r="AE3736" t="str">
            <v>05 - ANULADA EN VIGENCIA</v>
          </cell>
          <cell r="AP3736">
            <v>127791</v>
          </cell>
        </row>
        <row r="3737">
          <cell r="AE3737" t="str">
            <v>05 - ANULADA EN VIGENCIA</v>
          </cell>
          <cell r="AP3737">
            <v>77013477</v>
          </cell>
        </row>
        <row r="3738">
          <cell r="AE3738" t="str">
            <v>05 - ANULADA EN VIGENCIA</v>
          </cell>
          <cell r="AP3738">
            <v>77014316</v>
          </cell>
        </row>
        <row r="3739">
          <cell r="AE3739" t="str">
            <v>05 - ANULADA EN VIGENCIA</v>
          </cell>
          <cell r="AP3739">
            <v>77039108</v>
          </cell>
        </row>
        <row r="3740">
          <cell r="AE3740" t="str">
            <v>05 - ANULADA EN VIGENCIA</v>
          </cell>
          <cell r="AP3740">
            <v>77039441</v>
          </cell>
        </row>
        <row r="3741">
          <cell r="AE3741" t="str">
            <v>07 - DEVUELTO A AON</v>
          </cell>
          <cell r="AP3741">
            <v>1282799</v>
          </cell>
        </row>
        <row r="3742">
          <cell r="AE3742" t="str">
            <v>07 - DEVUELTO A AON</v>
          </cell>
          <cell r="AP3742">
            <v>8200966</v>
          </cell>
        </row>
        <row r="3743">
          <cell r="AE3743" t="str">
            <v>07 - DEVUELTO A AON</v>
          </cell>
          <cell r="AP3743">
            <v>8200960</v>
          </cell>
        </row>
        <row r="3744">
          <cell r="AE3744" t="str">
            <v>05 - ANULADA EN VIGENCIA</v>
          </cell>
          <cell r="AP3744">
            <v>507476</v>
          </cell>
        </row>
        <row r="3745">
          <cell r="AE3745" t="str">
            <v>05 - ANULADA EN VIGENCIA</v>
          </cell>
          <cell r="AP3745">
            <v>516558</v>
          </cell>
        </row>
        <row r="3746">
          <cell r="AE3746" t="str">
            <v>05 - ANULADA EN VIGENCIA</v>
          </cell>
          <cell r="AP3746">
            <v>519340</v>
          </cell>
        </row>
        <row r="3747">
          <cell r="AE3747" t="str">
            <v>05 - ANULADA EN VIGENCIA</v>
          </cell>
          <cell r="AP3747">
            <v>661986</v>
          </cell>
        </row>
        <row r="3748">
          <cell r="AE3748" t="str">
            <v>01 - RENOVADA</v>
          </cell>
          <cell r="AP3748">
            <v>2009902137</v>
          </cell>
        </row>
        <row r="3749">
          <cell r="AE3749" t="str">
            <v>04 - NO RENOVADA</v>
          </cell>
          <cell r="AP3749">
            <v>70175088</v>
          </cell>
        </row>
        <row r="3750">
          <cell r="AE3750" t="str">
            <v>08 - VIGENCIA ANTERIOR</v>
          </cell>
          <cell r="AP3750">
            <v>7052515</v>
          </cell>
        </row>
        <row r="3751">
          <cell r="AE3751" t="str">
            <v>04 - NO RENOVADA</v>
          </cell>
          <cell r="AP3751">
            <v>3022100272273</v>
          </cell>
        </row>
        <row r="3752">
          <cell r="AE3752" t="str">
            <v>04 - NO RENOVADA</v>
          </cell>
          <cell r="AP3752">
            <v>3022200255971</v>
          </cell>
        </row>
        <row r="3753">
          <cell r="AE3753" t="str">
            <v>04 - NO RENOVADA</v>
          </cell>
          <cell r="AP3753">
            <v>3022300296341</v>
          </cell>
        </row>
        <row r="3754">
          <cell r="AE3754" t="str">
            <v>04 - NO RENOVADA</v>
          </cell>
          <cell r="AP3754">
            <v>1368109</v>
          </cell>
        </row>
        <row r="3755">
          <cell r="AE3755" t="str">
            <v>01 - RENOVADA</v>
          </cell>
          <cell r="AP3755">
            <v>131203</v>
          </cell>
        </row>
        <row r="3756">
          <cell r="AE3756" t="str">
            <v>05 - ANULADA EN VIGENCIA</v>
          </cell>
          <cell r="AP3756">
            <v>90688096</v>
          </cell>
        </row>
        <row r="3757">
          <cell r="AE3757" t="str">
            <v>05 - ANULADA EN VIGENCIA</v>
          </cell>
          <cell r="AP3757">
            <v>220014345</v>
          </cell>
        </row>
        <row r="3758">
          <cell r="AE3758" t="str">
            <v>05 - ANULADA EN VIGENCIA</v>
          </cell>
          <cell r="AP3758">
            <v>33058</v>
          </cell>
        </row>
        <row r="3759">
          <cell r="AE3759" t="str">
            <v>05 - ANULADA EN VIGENCIA</v>
          </cell>
          <cell r="AP3759">
            <v>8576185</v>
          </cell>
        </row>
        <row r="3760">
          <cell r="AE3760" t="str">
            <v>05 - ANULADA EN VIGENCIA</v>
          </cell>
          <cell r="AP3760">
            <v>2005916259</v>
          </cell>
        </row>
        <row r="3761">
          <cell r="AE3761" t="str">
            <v>05 - ANULADA EN VIGENCIA</v>
          </cell>
          <cell r="AP3761">
            <v>2007176399</v>
          </cell>
        </row>
        <row r="3762">
          <cell r="AE3762" t="str">
            <v>05 - ANULADA EN VIGENCIA</v>
          </cell>
          <cell r="AP3762">
            <v>8044857</v>
          </cell>
        </row>
        <row r="3763">
          <cell r="AE3763" t="str">
            <v>05 - ANULADA EN VIGENCIA</v>
          </cell>
          <cell r="AP3763">
            <v>8044864</v>
          </cell>
        </row>
        <row r="3764">
          <cell r="AE3764" t="str">
            <v>05 - ANULADA EN VIGENCIA</v>
          </cell>
          <cell r="AP3764">
            <v>8044845</v>
          </cell>
        </row>
        <row r="3765">
          <cell r="AE3765" t="str">
            <v>05 - ANULADA EN VIGENCIA</v>
          </cell>
          <cell r="AP3765">
            <v>16459849</v>
          </cell>
        </row>
        <row r="3766">
          <cell r="AE3766" t="str">
            <v>05 - ANULADA EN VIGENCIA</v>
          </cell>
          <cell r="AP3766">
            <v>16462195</v>
          </cell>
        </row>
        <row r="3767">
          <cell r="AE3767" t="str">
            <v>05 - ANULADA EN VIGENCIA</v>
          </cell>
          <cell r="AP3767">
            <v>89153412</v>
          </cell>
        </row>
        <row r="3768">
          <cell r="AE3768" t="str">
            <v>05 - ANULADA EN VIGENCIA</v>
          </cell>
          <cell r="AP3768">
            <v>89153645</v>
          </cell>
        </row>
        <row r="3769">
          <cell r="AE3769" t="str">
            <v>05 - ANULADA EN VIGENCIA</v>
          </cell>
          <cell r="AP3769">
            <v>8125053</v>
          </cell>
        </row>
        <row r="3770">
          <cell r="AE3770" t="str">
            <v>05 - ANULADA EN VIGENCIA</v>
          </cell>
          <cell r="AP3770">
            <v>8226008</v>
          </cell>
        </row>
        <row r="3771">
          <cell r="AE3771" t="str">
            <v>04 - NO RENOVADA</v>
          </cell>
          <cell r="AP3771">
            <v>6102059900155</v>
          </cell>
        </row>
        <row r="3772">
          <cell r="AE3772" t="str">
            <v>04 - NO RENOVADA</v>
          </cell>
          <cell r="AP3772">
            <v>6102059900157</v>
          </cell>
        </row>
        <row r="3773">
          <cell r="AE3773" t="str">
            <v>01 - RENOVADA</v>
          </cell>
          <cell r="AP3773">
            <v>70225893</v>
          </cell>
        </row>
        <row r="3774">
          <cell r="AE3774" t="str">
            <v>04 - NO RENOVADA</v>
          </cell>
          <cell r="AP3774">
            <v>8071825</v>
          </cell>
        </row>
        <row r="3775">
          <cell r="AE3775" t="str">
            <v>04 - NO RENOVADA</v>
          </cell>
          <cell r="AP3775">
            <v>1272228</v>
          </cell>
        </row>
        <row r="3776">
          <cell r="AE3776" t="str">
            <v>01 - RENOVADA</v>
          </cell>
          <cell r="AP3776">
            <v>1548389</v>
          </cell>
        </row>
        <row r="3777">
          <cell r="AE3777" t="str">
            <v>05 - ANULADA EN VIGENCIA</v>
          </cell>
          <cell r="AP3777">
            <v>539889</v>
          </cell>
        </row>
        <row r="3778">
          <cell r="AE3778" t="str">
            <v>01 - RENOVADA</v>
          </cell>
          <cell r="AP3778">
            <v>220026136</v>
          </cell>
        </row>
        <row r="3779">
          <cell r="AE3779" t="str">
            <v>01 - RENOVADA</v>
          </cell>
          <cell r="AP3779">
            <v>220026111</v>
          </cell>
        </row>
        <row r="3780">
          <cell r="AE3780" t="str">
            <v>01 - RENOVADA</v>
          </cell>
          <cell r="AP3780">
            <v>220026120</v>
          </cell>
        </row>
        <row r="3781">
          <cell r="AE3781" t="str">
            <v>07 - DEVUELTO A AON</v>
          </cell>
          <cell r="AP3781">
            <v>2009404571</v>
          </cell>
        </row>
        <row r="3782">
          <cell r="AE3782" t="str">
            <v>07 - DEVUELTO A AON</v>
          </cell>
          <cell r="AP3782">
            <v>2009404574</v>
          </cell>
        </row>
        <row r="3783">
          <cell r="AE3783" t="str">
            <v>07 - DEVUELTO A AON</v>
          </cell>
          <cell r="AP3783">
            <v>2009404579</v>
          </cell>
        </row>
        <row r="3784">
          <cell r="AE3784" t="str">
            <v>07 - DEVUELTO A AON</v>
          </cell>
          <cell r="AP3784">
            <v>2009560874</v>
          </cell>
        </row>
        <row r="3785">
          <cell r="AE3785" t="str">
            <v>05 - ANULADA EN VIGENCIA</v>
          </cell>
          <cell r="AP3785">
            <v>2010711974</v>
          </cell>
        </row>
        <row r="3786">
          <cell r="AE3786" t="str">
            <v>05 - ANULADA EN VIGENCIA</v>
          </cell>
          <cell r="AP3786">
            <v>70177898</v>
          </cell>
        </row>
        <row r="3787">
          <cell r="AE3787" t="str">
            <v>05 - ANULADA EN VIGENCIA</v>
          </cell>
          <cell r="AP3787">
            <v>16780844</v>
          </cell>
        </row>
        <row r="3788">
          <cell r="AE3788" t="str">
            <v>05 - ANULADA EN VIGENCIA</v>
          </cell>
          <cell r="AP3788">
            <v>27882</v>
          </cell>
        </row>
        <row r="3789">
          <cell r="AE3789" t="str">
            <v>05 - ANULADA EN VIGENCIA</v>
          </cell>
          <cell r="AP3789">
            <v>62023405</v>
          </cell>
        </row>
        <row r="3790">
          <cell r="AE3790" t="str">
            <v>05 - ANULADA EN VIGENCIA</v>
          </cell>
          <cell r="AP3790">
            <v>69069</v>
          </cell>
        </row>
        <row r="3791">
          <cell r="AE3791" t="str">
            <v>05 - ANULADA EN VIGENCIA</v>
          </cell>
          <cell r="AP3791">
            <v>10822632</v>
          </cell>
        </row>
        <row r="3792">
          <cell r="AE3792" t="str">
            <v>05 - ANULADA EN VIGENCIA</v>
          </cell>
          <cell r="AP3792">
            <v>16775572</v>
          </cell>
        </row>
        <row r="3793">
          <cell r="AE3793" t="str">
            <v>05 - ANULADA EN VIGENCIA</v>
          </cell>
          <cell r="AP3793">
            <v>16775573</v>
          </cell>
        </row>
        <row r="3794">
          <cell r="AE3794" t="str">
            <v>05 - ANULADA EN VIGENCIA</v>
          </cell>
          <cell r="AP3794" t="str">
            <v>E0004126</v>
          </cell>
        </row>
        <row r="3795">
          <cell r="AE3795" t="str">
            <v>05 - ANULADA EN VIGENCIA</v>
          </cell>
          <cell r="AP3795">
            <v>62071270</v>
          </cell>
        </row>
        <row r="3796">
          <cell r="AE3796" t="str">
            <v>05 - ANULADA EN VIGENCIA</v>
          </cell>
          <cell r="AP3796">
            <v>98138</v>
          </cell>
        </row>
        <row r="3797">
          <cell r="AE3797" t="str">
            <v>05 - ANULADA EN VIGENCIA</v>
          </cell>
          <cell r="AP3797">
            <v>16850033</v>
          </cell>
        </row>
        <row r="3798">
          <cell r="AE3798" t="str">
            <v>05 - ANULADA EN VIGENCIA</v>
          </cell>
          <cell r="AP3798">
            <v>30219319</v>
          </cell>
        </row>
        <row r="3799">
          <cell r="AE3799" t="str">
            <v>05 - ANULADA EN VIGENCIA</v>
          </cell>
          <cell r="AP3799">
            <v>30296026</v>
          </cell>
        </row>
        <row r="3800">
          <cell r="AE3800" t="str">
            <v>05 - ANULADA EN VIGENCIA</v>
          </cell>
          <cell r="AP3800">
            <v>30302403</v>
          </cell>
        </row>
        <row r="3801">
          <cell r="AE3801" t="str">
            <v>05 - ANULADA EN VIGENCIA</v>
          </cell>
          <cell r="AP3801">
            <v>3022200258880</v>
          </cell>
        </row>
        <row r="3802">
          <cell r="AE3802" t="str">
            <v>05 - ANULADA EN VIGENCIA</v>
          </cell>
          <cell r="AP3802">
            <v>3022200289719</v>
          </cell>
        </row>
        <row r="3803">
          <cell r="AE3803" t="str">
            <v>05 - ANULADA EN VIGENCIA</v>
          </cell>
          <cell r="AP3803" t="str">
            <v>E0001778</v>
          </cell>
        </row>
        <row r="3804">
          <cell r="AE3804" t="str">
            <v>05 - ANULADA EN VIGENCIA</v>
          </cell>
          <cell r="AP3804">
            <v>3022200420196</v>
          </cell>
        </row>
        <row r="3805">
          <cell r="AE3805" t="str">
            <v>03 - PENDIENTE</v>
          </cell>
          <cell r="AP3805">
            <v>48486</v>
          </cell>
        </row>
        <row r="3806">
          <cell r="AE3806" t="str">
            <v>01 - RENOVADA</v>
          </cell>
          <cell r="AP3806">
            <v>9478549</v>
          </cell>
        </row>
        <row r="3807">
          <cell r="AE3807" t="str">
            <v>03 - PENDIENTE</v>
          </cell>
          <cell r="AP3807">
            <v>573439</v>
          </cell>
        </row>
        <row r="3808">
          <cell r="AE3808" t="str">
            <v>03 - PENDIENTE</v>
          </cell>
          <cell r="AP3808">
            <v>1000158841</v>
          </cell>
        </row>
        <row r="3809">
          <cell r="AE3809" t="str">
            <v>03 - PENDIENTE</v>
          </cell>
          <cell r="AP3809">
            <v>1000294332</v>
          </cell>
        </row>
        <row r="3810">
          <cell r="AE3810" t="str">
            <v>03 - PENDIENTE</v>
          </cell>
          <cell r="AP3810">
            <v>920326</v>
          </cell>
        </row>
        <row r="3811">
          <cell r="AE3811" t="str">
            <v>03 - PENDIENTE</v>
          </cell>
          <cell r="AP3811">
            <v>1000296355</v>
          </cell>
        </row>
        <row r="3812">
          <cell r="AE3812" t="str">
            <v>03 - PENDIENTE</v>
          </cell>
          <cell r="AP3812">
            <v>925122</v>
          </cell>
        </row>
        <row r="3813">
          <cell r="AE3813" t="str">
            <v>04 - NO RENOVADA</v>
          </cell>
          <cell r="AP3813">
            <v>506742</v>
          </cell>
        </row>
        <row r="3814">
          <cell r="AE3814" t="str">
            <v>05 - ANULADA EN VIGENCIA</v>
          </cell>
          <cell r="AP3814">
            <v>127161</v>
          </cell>
        </row>
        <row r="3815">
          <cell r="AE3815" t="str">
            <v>05 - ANULADA EN VIGENCIA</v>
          </cell>
          <cell r="AP3815">
            <v>62099509</v>
          </cell>
        </row>
        <row r="3816">
          <cell r="AE3816" t="str">
            <v>01 - RENOVADA</v>
          </cell>
          <cell r="AP3816">
            <v>21382280</v>
          </cell>
        </row>
        <row r="3817">
          <cell r="AE3817" t="str">
            <v>03 - PENDIENTE</v>
          </cell>
          <cell r="AP3817">
            <v>78915</v>
          </cell>
        </row>
        <row r="3818">
          <cell r="AE3818" t="str">
            <v>04 - NO RENOVADA</v>
          </cell>
          <cell r="AP3818">
            <v>125724</v>
          </cell>
        </row>
        <row r="3819">
          <cell r="AE3819" t="str">
            <v>04 - NO RENOVADA</v>
          </cell>
          <cell r="AP3819">
            <v>62098103</v>
          </cell>
        </row>
        <row r="3820">
          <cell r="AE3820" t="str">
            <v>01 - RENOVADA</v>
          </cell>
          <cell r="AP3820">
            <v>11159567</v>
          </cell>
        </row>
        <row r="3821">
          <cell r="AE3821" t="str">
            <v>08 - VIGENCIA ANTERIOR</v>
          </cell>
          <cell r="AP3821">
            <v>92914</v>
          </cell>
        </row>
        <row r="3822">
          <cell r="AE3822" t="str">
            <v>05 - ANULADA EN VIGENCIA</v>
          </cell>
          <cell r="AP3822">
            <v>70210443</v>
          </cell>
        </row>
        <row r="3823">
          <cell r="AE3823" t="str">
            <v>05 - ANULADA EN VIGENCIA</v>
          </cell>
          <cell r="AP3823">
            <v>1242327</v>
          </cell>
        </row>
        <row r="3824">
          <cell r="AE3824" t="str">
            <v>05 - ANULADA EN VIGENCIA</v>
          </cell>
          <cell r="AP3824">
            <v>3012200021479</v>
          </cell>
        </row>
        <row r="3825">
          <cell r="AE3825" t="str">
            <v>05 - ANULADA EN VIGENCIA</v>
          </cell>
          <cell r="AP3825">
            <v>3012200021485</v>
          </cell>
        </row>
        <row r="3826">
          <cell r="AE3826" t="str">
            <v>05 - ANULADA EN VIGENCIA</v>
          </cell>
          <cell r="AP3826">
            <v>2006985555</v>
          </cell>
        </row>
        <row r="3827">
          <cell r="AE3827" t="str">
            <v>05 - ANULADA EN VIGENCIA</v>
          </cell>
          <cell r="AP3827">
            <v>16957037</v>
          </cell>
        </row>
        <row r="3828">
          <cell r="AE3828" t="str">
            <v>05 - ANULADA EN VIGENCIA</v>
          </cell>
          <cell r="AP3828">
            <v>3012200041115</v>
          </cell>
        </row>
        <row r="3829">
          <cell r="AE3829" t="str">
            <v>03 - PENDIENTE</v>
          </cell>
          <cell r="AP3829">
            <v>17589033</v>
          </cell>
        </row>
        <row r="3830">
          <cell r="AE3830" t="str">
            <v>01 - RENOVADA</v>
          </cell>
          <cell r="AP3830">
            <v>1300623325</v>
          </cell>
        </row>
        <row r="3831">
          <cell r="AE3831" t="str">
            <v>05 - ANULADA EN VIGENCIA</v>
          </cell>
          <cell r="AP3831">
            <v>70143157</v>
          </cell>
        </row>
        <row r="3832">
          <cell r="AE3832" t="str">
            <v>01 - RENOVADA</v>
          </cell>
          <cell r="AP3832">
            <v>16327565</v>
          </cell>
        </row>
        <row r="3833">
          <cell r="AE3833" t="str">
            <v>03 - PENDIENTE</v>
          </cell>
          <cell r="AP3833">
            <v>510273</v>
          </cell>
        </row>
        <row r="3834">
          <cell r="AE3834" t="str">
            <v>03 - PENDIENTE</v>
          </cell>
          <cell r="AP3834">
            <v>530357</v>
          </cell>
        </row>
        <row r="3835">
          <cell r="AE3835" t="str">
            <v>05 - ANULADA EN VIGENCIA</v>
          </cell>
          <cell r="AP3835">
            <v>326</v>
          </cell>
        </row>
        <row r="3836">
          <cell r="AE3836" t="str">
            <v>05 - ANULADA EN VIGENCIA</v>
          </cell>
          <cell r="AP3836" t="str">
            <v>P0177167</v>
          </cell>
        </row>
        <row r="3837">
          <cell r="AE3837" t="str">
            <v>05 - ANULADA EN VIGENCIA</v>
          </cell>
          <cell r="AP3837">
            <v>326</v>
          </cell>
        </row>
        <row r="3838">
          <cell r="AE3838" t="str">
            <v>05 - ANULADA EN VIGENCIA</v>
          </cell>
          <cell r="AP3838" t="str">
            <v>E0020983</v>
          </cell>
        </row>
        <row r="3839">
          <cell r="AE3839" t="str">
            <v>05 - ANULADA EN VIGENCIA</v>
          </cell>
          <cell r="AP3839">
            <v>81801</v>
          </cell>
        </row>
        <row r="3840">
          <cell r="AE3840" t="str">
            <v>01 - RENOVADA</v>
          </cell>
          <cell r="AP3840">
            <v>9501919</v>
          </cell>
        </row>
        <row r="3841">
          <cell r="AE3841" t="str">
            <v>05 - ANULADA EN VIGENCIA</v>
          </cell>
          <cell r="AP3841">
            <v>866727</v>
          </cell>
        </row>
        <row r="3842">
          <cell r="AE3842" t="str">
            <v>08 - VIGENCIA ANTERIOR</v>
          </cell>
          <cell r="AP3842">
            <v>2006970608</v>
          </cell>
        </row>
        <row r="3843">
          <cell r="AE3843" t="str">
            <v>05 - ANULADA EN VIGENCIA</v>
          </cell>
          <cell r="AP3843">
            <v>2008501266</v>
          </cell>
        </row>
        <row r="3844">
          <cell r="AE3844" t="str">
            <v>01 - RENOVADA</v>
          </cell>
          <cell r="AP3844">
            <v>70202530</v>
          </cell>
        </row>
        <row r="3845">
          <cell r="AE3845" t="str">
            <v>03 - PENDIENTE</v>
          </cell>
          <cell r="AP3845">
            <v>7011259900292</v>
          </cell>
        </row>
        <row r="3846">
          <cell r="AE3846" t="str">
            <v>01 - RENOVADA</v>
          </cell>
          <cell r="AP3846">
            <v>7021210112294</v>
          </cell>
        </row>
        <row r="3847">
          <cell r="AE3847" t="str">
            <v>03 - PENDIENTE</v>
          </cell>
          <cell r="AP3847">
            <v>2002281956</v>
          </cell>
        </row>
        <row r="3848">
          <cell r="AE3848" t="str">
            <v>05 - ANULADA EN VIGENCIA</v>
          </cell>
          <cell r="AP3848">
            <v>6862</v>
          </cell>
        </row>
        <row r="3849">
          <cell r="AE3849" t="str">
            <v>05 - ANULADA EN VIGENCIA</v>
          </cell>
          <cell r="AP3849">
            <v>30877</v>
          </cell>
        </row>
        <row r="3850">
          <cell r="AE3850" t="str">
            <v>05 - ANULADA EN VIGENCIA</v>
          </cell>
          <cell r="AP3850">
            <v>516947</v>
          </cell>
        </row>
        <row r="3851">
          <cell r="AE3851" t="str">
            <v>05 - ANULADA EN VIGENCIA</v>
          </cell>
          <cell r="AP3851">
            <v>7667855</v>
          </cell>
        </row>
        <row r="3852">
          <cell r="AE3852" t="str">
            <v>05 - ANULADA EN VIGENCIA</v>
          </cell>
          <cell r="AP3852">
            <v>350</v>
          </cell>
        </row>
        <row r="3853">
          <cell r="AE3853" t="str">
            <v>01 - RENOVADA</v>
          </cell>
          <cell r="AP3853">
            <v>1300627934</v>
          </cell>
        </row>
        <row r="3854">
          <cell r="AE3854" t="str">
            <v>01 - RENOVADA</v>
          </cell>
          <cell r="AP3854">
            <v>21099510</v>
          </cell>
        </row>
        <row r="3855">
          <cell r="AE3855" t="str">
            <v>03 - PENDIENTE</v>
          </cell>
          <cell r="AP3855">
            <v>1489353</v>
          </cell>
        </row>
        <row r="3856">
          <cell r="AE3856" t="str">
            <v>05 - ANULADA EN VIGENCIA</v>
          </cell>
          <cell r="AP3856">
            <v>1487966</v>
          </cell>
        </row>
        <row r="3857">
          <cell r="AE3857" t="str">
            <v>01 - RENOVADA</v>
          </cell>
          <cell r="AP3857">
            <v>1128788</v>
          </cell>
        </row>
        <row r="3858">
          <cell r="AE3858" t="str">
            <v>01 - RENOVADA</v>
          </cell>
          <cell r="AP3858">
            <v>62100477</v>
          </cell>
        </row>
        <row r="3859">
          <cell r="AE3859" t="str">
            <v>01 - RENOVADA</v>
          </cell>
          <cell r="AP3859">
            <v>553181</v>
          </cell>
        </row>
        <row r="3860">
          <cell r="AE3860" t="str">
            <v>08 - VIGENCIA ANTERIOR</v>
          </cell>
          <cell r="AP3860">
            <v>23341</v>
          </cell>
        </row>
        <row r="3861">
          <cell r="AE3861" t="str">
            <v>01 - RENOVADA</v>
          </cell>
          <cell r="AP3861">
            <v>600017984</v>
          </cell>
        </row>
        <row r="3862">
          <cell r="AE3862" t="str">
            <v>05 - ANULADA EN VIGENCIA</v>
          </cell>
          <cell r="AP3862">
            <v>7011259900563</v>
          </cell>
        </row>
        <row r="3863">
          <cell r="AE3863" t="str">
            <v>05 - ANULADA EN VIGENCIA</v>
          </cell>
          <cell r="AP3863">
            <v>7021210128036</v>
          </cell>
        </row>
        <row r="3864">
          <cell r="AE3864" t="str">
            <v>03 - PENDIENTE</v>
          </cell>
          <cell r="AP3864">
            <v>2701259900190</v>
          </cell>
        </row>
        <row r="3865">
          <cell r="AE3865" t="str">
            <v>03 - PENDIENTE</v>
          </cell>
          <cell r="AP3865">
            <v>2101259900079</v>
          </cell>
        </row>
        <row r="3866">
          <cell r="AE3866" t="str">
            <v>03 - PENDIENTE</v>
          </cell>
          <cell r="AP3866">
            <v>526592</v>
          </cell>
        </row>
        <row r="3867">
          <cell r="AE3867" t="str">
            <v>04 - NO RENOVADA</v>
          </cell>
          <cell r="AP3867">
            <v>6102059900192</v>
          </cell>
        </row>
        <row r="3868">
          <cell r="AE3868" t="str">
            <v>04 - NO RENOVADA</v>
          </cell>
          <cell r="AP3868">
            <v>7011359900611</v>
          </cell>
        </row>
        <row r="3869">
          <cell r="AE3869" t="str">
            <v>04 - NO RENOVADA</v>
          </cell>
          <cell r="AP3869">
            <v>7021310123896</v>
          </cell>
        </row>
        <row r="3870">
          <cell r="AE3870" t="str">
            <v>05 - ANULADA EN VIGENCIA</v>
          </cell>
          <cell r="AP3870">
            <v>16792730</v>
          </cell>
        </row>
        <row r="3871">
          <cell r="AE3871" t="str">
            <v>01 - RENOVADA</v>
          </cell>
          <cell r="AP3871">
            <v>1300376886</v>
          </cell>
        </row>
        <row r="3872">
          <cell r="AE3872" t="str">
            <v>01 - RENOVADA</v>
          </cell>
          <cell r="AP3872">
            <v>138477</v>
          </cell>
        </row>
        <row r="3873">
          <cell r="AE3873" t="str">
            <v>04 - NO RENOVADA</v>
          </cell>
          <cell r="AP3873">
            <v>17291910</v>
          </cell>
        </row>
        <row r="3874">
          <cell r="AE3874" t="str">
            <v>01 - RENOVADA</v>
          </cell>
          <cell r="AP3874">
            <v>534974</v>
          </cell>
        </row>
        <row r="3875">
          <cell r="AE3875" t="str">
            <v>05 - ANULADA EN VIGENCIA</v>
          </cell>
          <cell r="AP3875">
            <v>6102400014406</v>
          </cell>
        </row>
        <row r="3876">
          <cell r="AE3876" t="str">
            <v>05 - ANULADA EN VIGENCIA</v>
          </cell>
          <cell r="AP3876">
            <v>70200011</v>
          </cell>
        </row>
        <row r="3877">
          <cell r="AE3877" t="str">
            <v>01 - RENOVADA</v>
          </cell>
          <cell r="AP3877">
            <v>16786702</v>
          </cell>
        </row>
        <row r="3878">
          <cell r="AE3878" t="str">
            <v>04 - NO RENOVADA</v>
          </cell>
          <cell r="AP3878">
            <v>62075213</v>
          </cell>
        </row>
        <row r="3879">
          <cell r="AE3879" t="str">
            <v>04 - NO RENOVADA</v>
          </cell>
          <cell r="AP3879">
            <v>2006444941</v>
          </cell>
        </row>
        <row r="3880">
          <cell r="AE3880" t="str">
            <v>02 - EN PROCESO</v>
          </cell>
          <cell r="AP3880">
            <v>6624282</v>
          </cell>
        </row>
        <row r="3881">
          <cell r="AE3881" t="str">
            <v>05 - ANULADA EN VIGENCIA</v>
          </cell>
          <cell r="AP3881">
            <v>67551</v>
          </cell>
        </row>
        <row r="3882">
          <cell r="AE3882" t="str">
            <v>05 - ANULADA EN VIGENCIA</v>
          </cell>
          <cell r="AP3882">
            <v>6689725</v>
          </cell>
        </row>
        <row r="3883">
          <cell r="AE3883" t="str">
            <v>05 - ANULADA EN VIGENCIA</v>
          </cell>
          <cell r="AP3883">
            <v>9156828</v>
          </cell>
        </row>
        <row r="3884">
          <cell r="AE3884" t="str">
            <v>05 - ANULADA EN VIGENCIA</v>
          </cell>
          <cell r="AP3884">
            <v>16735267</v>
          </cell>
        </row>
        <row r="3885">
          <cell r="AE3885" t="str">
            <v>05 - ANULADA EN VIGENCIA</v>
          </cell>
          <cell r="AP3885">
            <v>16864968</v>
          </cell>
        </row>
        <row r="3886">
          <cell r="AE3886" t="str">
            <v>05 - ANULADA EN VIGENCIA</v>
          </cell>
          <cell r="AP3886">
            <v>9156821</v>
          </cell>
        </row>
        <row r="3887">
          <cell r="AE3887" t="str">
            <v>05 - ANULADA EN VIGENCIA</v>
          </cell>
          <cell r="AP3887">
            <v>9156828</v>
          </cell>
        </row>
        <row r="3888">
          <cell r="AE3888" t="str">
            <v>05 - ANULADA EN VIGENCIA</v>
          </cell>
          <cell r="AP3888">
            <v>6755202</v>
          </cell>
        </row>
        <row r="3889">
          <cell r="AE3889" t="str">
            <v>05 - ANULADA EN VIGENCIA</v>
          </cell>
          <cell r="AP3889">
            <v>7783943</v>
          </cell>
        </row>
        <row r="3890">
          <cell r="AE3890" t="str">
            <v>05 - ANULADA EN VIGENCIA</v>
          </cell>
          <cell r="AP3890">
            <v>109973</v>
          </cell>
        </row>
        <row r="3891">
          <cell r="AE3891" t="str">
            <v>05 - ANULADA EN VIGENCIA</v>
          </cell>
          <cell r="AP3891">
            <v>62083228</v>
          </cell>
        </row>
        <row r="3892">
          <cell r="AE3892" t="str">
            <v>05 - ANULADA EN VIGENCIA</v>
          </cell>
          <cell r="AP3892">
            <v>6653</v>
          </cell>
        </row>
        <row r="3893">
          <cell r="AE3893" t="str">
            <v>05 - ANULADA EN VIGENCIA</v>
          </cell>
          <cell r="AP3893">
            <v>7021769</v>
          </cell>
        </row>
        <row r="3894">
          <cell r="AE3894" t="str">
            <v>05 - ANULADA EN VIGENCIA</v>
          </cell>
          <cell r="AP3894">
            <v>43479</v>
          </cell>
        </row>
        <row r="3895">
          <cell r="AE3895" t="str">
            <v>05 - ANULADA EN VIGENCIA</v>
          </cell>
          <cell r="AP3895">
            <v>7876002</v>
          </cell>
        </row>
        <row r="3896">
          <cell r="AE3896" t="str">
            <v>05 - ANULADA EN VIGENCIA</v>
          </cell>
          <cell r="AP3896">
            <v>4425</v>
          </cell>
        </row>
        <row r="3897">
          <cell r="AE3897" t="str">
            <v>05 - ANULADA EN VIGENCIA</v>
          </cell>
          <cell r="AP3897">
            <v>5114</v>
          </cell>
        </row>
        <row r="3898">
          <cell r="AE3898" t="str">
            <v>05 - ANULADA EN VIGENCIA</v>
          </cell>
          <cell r="AP3898">
            <v>42096</v>
          </cell>
        </row>
        <row r="3899">
          <cell r="AE3899" t="str">
            <v>05 - ANULADA EN VIGENCIA</v>
          </cell>
          <cell r="AP3899">
            <v>7274211</v>
          </cell>
        </row>
        <row r="3900">
          <cell r="AE3900" t="str">
            <v>05 - ANULADA EN VIGENCIA</v>
          </cell>
          <cell r="AP3900">
            <v>904416</v>
          </cell>
        </row>
        <row r="3901">
          <cell r="AE3901" t="str">
            <v>05 - ANULADA EN VIGENCIA</v>
          </cell>
          <cell r="AP3901">
            <v>5007</v>
          </cell>
        </row>
        <row r="3902">
          <cell r="AE3902" t="str">
            <v>05 - ANULADA EN VIGENCIA</v>
          </cell>
          <cell r="AP3902">
            <v>3012000077836</v>
          </cell>
        </row>
        <row r="3903">
          <cell r="AE3903" t="str">
            <v>05 - ANULADA EN VIGENCIA</v>
          </cell>
          <cell r="AP3903">
            <v>2007862978</v>
          </cell>
        </row>
        <row r="3904">
          <cell r="AE3904" t="str">
            <v>05 - ANULADA EN VIGENCIA</v>
          </cell>
          <cell r="AP3904" t="str">
            <v>IMBAREX01</v>
          </cell>
        </row>
        <row r="3905">
          <cell r="AE3905" t="str">
            <v>05 - ANULADA EN VIGENCIA</v>
          </cell>
          <cell r="AP3905">
            <v>220023326</v>
          </cell>
        </row>
        <row r="3906">
          <cell r="AE3906" t="str">
            <v>05 - ANULADA EN VIGENCIA</v>
          </cell>
          <cell r="AP3906">
            <v>2006502253</v>
          </cell>
        </row>
        <row r="3907">
          <cell r="AE3907" t="str">
            <v>07 - DEVUELTO A AON</v>
          </cell>
          <cell r="AP3907">
            <v>3011900056134</v>
          </cell>
        </row>
        <row r="3908">
          <cell r="AE3908" t="str">
            <v>07 - DEVUELTO A AON</v>
          </cell>
          <cell r="AP3908">
            <v>3012200007684</v>
          </cell>
        </row>
        <row r="3909">
          <cell r="AE3909" t="str">
            <v>07 - DEVUELTO A AON</v>
          </cell>
          <cell r="AP3909">
            <v>3012200050906</v>
          </cell>
        </row>
        <row r="3910">
          <cell r="AE3910" t="str">
            <v>05 - ANULADA EN VIGENCIA</v>
          </cell>
          <cell r="AP3910">
            <v>2006914987</v>
          </cell>
        </row>
        <row r="3911">
          <cell r="AE3911" t="str">
            <v>05 - ANULADA EN VIGENCIA</v>
          </cell>
          <cell r="AP3911">
            <v>2000304895</v>
          </cell>
        </row>
        <row r="3912">
          <cell r="AE3912" t="str">
            <v>05 - ANULADA EN VIGENCIA</v>
          </cell>
          <cell r="AP3912">
            <v>2221410100097</v>
          </cell>
        </row>
        <row r="3913">
          <cell r="AE3913" t="str">
            <v>03 - PENDIENTE</v>
          </cell>
          <cell r="AP3913">
            <v>19782476</v>
          </cell>
        </row>
        <row r="3914">
          <cell r="AE3914" t="str">
            <v>03 - PENDIENTE</v>
          </cell>
          <cell r="AP3914">
            <v>19788397</v>
          </cell>
        </row>
        <row r="3915">
          <cell r="AE3915" t="str">
            <v>05 - ANULADA EN VIGENCIA</v>
          </cell>
          <cell r="AP3915">
            <v>70197913</v>
          </cell>
        </row>
        <row r="3916">
          <cell r="AE3916" t="str">
            <v>04 - NO RENOVADA</v>
          </cell>
          <cell r="AP3916">
            <v>70126998</v>
          </cell>
        </row>
        <row r="3917">
          <cell r="AE3917" t="str">
            <v>01 - RENOVADA</v>
          </cell>
          <cell r="AP3917" t="str">
            <v>E0003770</v>
          </cell>
        </row>
        <row r="3918">
          <cell r="AE3918" t="str">
            <v>03 - PENDIENTE</v>
          </cell>
          <cell r="AP3918">
            <v>67288323</v>
          </cell>
        </row>
        <row r="3919">
          <cell r="AE3919" t="str">
            <v>02 - EN PROCESO</v>
          </cell>
          <cell r="AP3919">
            <v>42979</v>
          </cell>
        </row>
        <row r="3920">
          <cell r="AE3920" t="str">
            <v>03 - PENDIENTE</v>
          </cell>
          <cell r="AP3920">
            <v>1000110992</v>
          </cell>
        </row>
        <row r="3921">
          <cell r="AE3921" t="str">
            <v>03 - PENDIENTE</v>
          </cell>
          <cell r="AP3921">
            <v>440640</v>
          </cell>
        </row>
        <row r="3922">
          <cell r="AE3922" t="str">
            <v>04 - NO RENOVADA</v>
          </cell>
          <cell r="AP3922">
            <v>70184713</v>
          </cell>
        </row>
        <row r="3923">
          <cell r="AE3923" t="str">
            <v>05 - ANULADA EN VIGENCIA</v>
          </cell>
          <cell r="AP3923">
            <v>24355</v>
          </cell>
        </row>
        <row r="3924">
          <cell r="AE3924" t="str">
            <v>05 - ANULADA EN VIGENCIA</v>
          </cell>
          <cell r="AP3924">
            <v>7193850</v>
          </cell>
        </row>
        <row r="3925">
          <cell r="AE3925" t="str">
            <v>01 - RENOVADA</v>
          </cell>
          <cell r="AP3925">
            <v>2401459900008</v>
          </cell>
        </row>
        <row r="3926">
          <cell r="AE3926" t="str">
            <v>04 - NO RENOVADA</v>
          </cell>
          <cell r="AP3926" t="str">
            <v>P0033719</v>
          </cell>
        </row>
        <row r="3927">
          <cell r="AE3927" t="str">
            <v>04 - NO RENOVADA</v>
          </cell>
          <cell r="AP3927" t="str">
            <v>S0030429</v>
          </cell>
        </row>
        <row r="3928">
          <cell r="AE3928" t="str">
            <v>01 - RENOVADA</v>
          </cell>
          <cell r="AP3928">
            <v>7012200000288</v>
          </cell>
        </row>
        <row r="3929">
          <cell r="AE3929" t="str">
            <v>01 - RENOVADA</v>
          </cell>
          <cell r="AP3929">
            <v>7022200000327</v>
          </cell>
        </row>
        <row r="3930">
          <cell r="AE3930" t="str">
            <v>04 - NO RENOVADA</v>
          </cell>
          <cell r="AP3930">
            <v>2009647951</v>
          </cell>
        </row>
        <row r="3931">
          <cell r="AE3931" t="str">
            <v>04 - NO RENOVADA</v>
          </cell>
          <cell r="AP3931">
            <v>6817429</v>
          </cell>
        </row>
        <row r="3932">
          <cell r="AE3932" t="str">
            <v>04 - NO RENOVADA</v>
          </cell>
          <cell r="AP3932">
            <v>6817440</v>
          </cell>
        </row>
        <row r="3933">
          <cell r="AE3933" t="str">
            <v>04 - NO RENOVADA</v>
          </cell>
          <cell r="AP3933">
            <v>6817445</v>
          </cell>
        </row>
        <row r="3934">
          <cell r="AE3934" t="str">
            <v>04 - NO RENOVADA</v>
          </cell>
          <cell r="AP3934">
            <v>7828429</v>
          </cell>
        </row>
        <row r="3935">
          <cell r="AE3935" t="str">
            <v>04 - NO RENOVADA</v>
          </cell>
          <cell r="AP3935">
            <v>7828709</v>
          </cell>
        </row>
        <row r="3936">
          <cell r="AE3936" t="str">
            <v>04 - NO RENOVADA</v>
          </cell>
          <cell r="AP3936">
            <v>6817433</v>
          </cell>
        </row>
        <row r="3937">
          <cell r="AE3937" t="str">
            <v>04 - NO RENOVADA</v>
          </cell>
          <cell r="AP3937">
            <v>7828440</v>
          </cell>
        </row>
        <row r="3938">
          <cell r="AE3938" t="str">
            <v>05 - ANULADA EN VIGENCIA</v>
          </cell>
          <cell r="AP3938">
            <v>512076</v>
          </cell>
        </row>
        <row r="3939">
          <cell r="AE3939" t="str">
            <v>05 - ANULADA EN VIGENCIA</v>
          </cell>
          <cell r="AP3939">
            <v>511766</v>
          </cell>
        </row>
        <row r="3940">
          <cell r="AE3940" t="str">
            <v>05 - ANULADA EN VIGENCIA</v>
          </cell>
          <cell r="AP3940">
            <v>541008</v>
          </cell>
        </row>
        <row r="3941">
          <cell r="AE3941" t="str">
            <v>05 - ANULADA EN VIGENCIA</v>
          </cell>
          <cell r="AP3941">
            <v>539179</v>
          </cell>
        </row>
        <row r="3942">
          <cell r="AE3942" t="str">
            <v>01 - RENOVADA</v>
          </cell>
          <cell r="AP3942">
            <v>1300411382</v>
          </cell>
        </row>
        <row r="3943">
          <cell r="AE3943" t="str">
            <v>01 - RENOVADA</v>
          </cell>
          <cell r="AP3943">
            <v>17208746</v>
          </cell>
        </row>
        <row r="3944">
          <cell r="AE3944" t="str">
            <v>05 - ANULADA EN VIGENCIA</v>
          </cell>
          <cell r="AP3944">
            <v>1300165122</v>
          </cell>
        </row>
        <row r="3945">
          <cell r="AE3945" t="str">
            <v>04 - NO RENOVADA</v>
          </cell>
          <cell r="AP3945">
            <v>19230571</v>
          </cell>
        </row>
        <row r="3946">
          <cell r="AE3946" t="str">
            <v>03 - PENDIENTE</v>
          </cell>
          <cell r="AP3946">
            <v>2006512782</v>
          </cell>
        </row>
        <row r="3947">
          <cell r="AE3947" t="str">
            <v>03 - PENDIENTE</v>
          </cell>
          <cell r="AP3947">
            <v>787681</v>
          </cell>
        </row>
        <row r="3948">
          <cell r="AE3948" t="str">
            <v>01 - RENOVADA</v>
          </cell>
          <cell r="AP3948">
            <v>20665471</v>
          </cell>
        </row>
        <row r="3949">
          <cell r="AE3949" t="str">
            <v>04 - NO RENOVADA</v>
          </cell>
          <cell r="AP3949">
            <v>20563713</v>
          </cell>
        </row>
        <row r="3950">
          <cell r="AE3950" t="str">
            <v>01 - RENOVADA</v>
          </cell>
          <cell r="AP3950">
            <v>1300624071</v>
          </cell>
        </row>
        <row r="3951">
          <cell r="AE3951" t="str">
            <v>03 - PENDIENTE</v>
          </cell>
          <cell r="AP3951">
            <v>1300633219</v>
          </cell>
        </row>
        <row r="3952">
          <cell r="AE3952" t="str">
            <v>05 - ANULADA EN VIGENCIA</v>
          </cell>
          <cell r="AP3952">
            <v>11245199</v>
          </cell>
        </row>
        <row r="3953">
          <cell r="AE3953" t="str">
            <v>01 - RENOVADA</v>
          </cell>
          <cell r="AP3953">
            <v>1300623395</v>
          </cell>
        </row>
        <row r="3954">
          <cell r="AE3954" t="str">
            <v>01 - RENOVADA</v>
          </cell>
          <cell r="AP3954">
            <v>70205965</v>
          </cell>
        </row>
        <row r="3955">
          <cell r="AE3955" t="str">
            <v>04 - NO RENOVADA</v>
          </cell>
          <cell r="AP3955">
            <v>1012415800026</v>
          </cell>
        </row>
        <row r="3956">
          <cell r="AE3956" t="str">
            <v>02 - EN PROCESO</v>
          </cell>
          <cell r="AP3956">
            <v>1012415800087</v>
          </cell>
        </row>
        <row r="3957">
          <cell r="AE3957" t="str">
            <v>05 - ANULADA EN VIGENCIA</v>
          </cell>
          <cell r="AP3957">
            <v>1012323000010</v>
          </cell>
        </row>
        <row r="3958">
          <cell r="AE3958" t="str">
            <v>05 - ANULADA EN VIGENCIA</v>
          </cell>
          <cell r="AP3958">
            <v>1012415800093</v>
          </cell>
        </row>
        <row r="3959">
          <cell r="AE3959" t="str">
            <v>01 - RENOVADA</v>
          </cell>
          <cell r="AP3959">
            <v>220027096</v>
          </cell>
        </row>
        <row r="3960">
          <cell r="AE3960" t="str">
            <v>01 - RENOVADA</v>
          </cell>
          <cell r="AP3960">
            <v>220027312</v>
          </cell>
        </row>
        <row r="3961">
          <cell r="AE3961" t="str">
            <v>01 - RENOVADA</v>
          </cell>
          <cell r="AP3961">
            <v>70210622</v>
          </cell>
        </row>
        <row r="3962">
          <cell r="AE3962" t="str">
            <v>04 - NO RENOVADA</v>
          </cell>
          <cell r="AP3962">
            <v>544493</v>
          </cell>
        </row>
        <row r="3963">
          <cell r="AE3963" t="str">
            <v>04 - NO RENOVADA</v>
          </cell>
          <cell r="AP3963">
            <v>1012320300044</v>
          </cell>
        </row>
        <row r="3964">
          <cell r="AE3964" t="str">
            <v>01 - RENOVADA</v>
          </cell>
          <cell r="AP3964">
            <v>70210621</v>
          </cell>
        </row>
        <row r="3965">
          <cell r="AE3965" t="str">
            <v>04 - NO RENOVADA</v>
          </cell>
          <cell r="AP3965">
            <v>19736101</v>
          </cell>
        </row>
        <row r="3966">
          <cell r="AE3966" t="str">
            <v>05 - ANULADA EN VIGENCIA</v>
          </cell>
          <cell r="AP3966">
            <v>1012415800009</v>
          </cell>
        </row>
        <row r="3967">
          <cell r="AE3967" t="str">
            <v>01 - RENOVADA</v>
          </cell>
          <cell r="AP3967">
            <v>70216357</v>
          </cell>
        </row>
        <row r="3968">
          <cell r="AE3968" t="str">
            <v>04 - NO RENOVADA</v>
          </cell>
          <cell r="AP3968">
            <v>2302415800002</v>
          </cell>
        </row>
        <row r="3969">
          <cell r="AE3969" t="str">
            <v>01 - RENOVADA</v>
          </cell>
          <cell r="AP3969">
            <v>8302835</v>
          </cell>
        </row>
        <row r="3970">
          <cell r="AE3970" t="str">
            <v>03 - PENDIENTE</v>
          </cell>
          <cell r="AP3970">
            <v>2312510100142</v>
          </cell>
        </row>
        <row r="3971">
          <cell r="AE3971" t="str">
            <v>03 - PENDIENTE</v>
          </cell>
          <cell r="AP3971">
            <v>2402510100003</v>
          </cell>
        </row>
        <row r="3972">
          <cell r="AE3972" t="str">
            <v>04 - NO RENOVADA</v>
          </cell>
          <cell r="AP3972">
            <v>2312410100028</v>
          </cell>
        </row>
        <row r="3973">
          <cell r="AE3973" t="str">
            <v>04 - NO RENOVADA</v>
          </cell>
          <cell r="AP3973">
            <v>547322</v>
          </cell>
        </row>
        <row r="3974">
          <cell r="AE3974" t="str">
            <v>04 - NO RENOVADA</v>
          </cell>
          <cell r="AP3974">
            <v>547326</v>
          </cell>
        </row>
        <row r="3975">
          <cell r="AE3975" t="str">
            <v>04 - NO RENOVADA</v>
          </cell>
          <cell r="AP3975">
            <v>2402510100059</v>
          </cell>
        </row>
        <row r="3976">
          <cell r="AE3976" t="str">
            <v>01 - RENOVADA</v>
          </cell>
          <cell r="AP3976">
            <v>70227874</v>
          </cell>
        </row>
        <row r="3977">
          <cell r="AE3977" t="str">
            <v>03 - PENDIENTE</v>
          </cell>
          <cell r="AP3977">
            <v>1000105652</v>
          </cell>
        </row>
        <row r="3978">
          <cell r="AE3978" t="str">
            <v>03 - PENDIENTE</v>
          </cell>
          <cell r="AP3978">
            <v>425559</v>
          </cell>
        </row>
        <row r="3979">
          <cell r="AE3979" t="str">
            <v>04 - NO RENOVADA</v>
          </cell>
          <cell r="AP3979">
            <v>2312415800005</v>
          </cell>
        </row>
        <row r="3980">
          <cell r="AE3980" t="str">
            <v>01 - RENOVADA</v>
          </cell>
          <cell r="AP3980">
            <v>70235044</v>
          </cell>
        </row>
        <row r="3981">
          <cell r="AE3981" t="str">
            <v>01 - RENOVADA</v>
          </cell>
          <cell r="AP3981">
            <v>70231527</v>
          </cell>
        </row>
        <row r="3982">
          <cell r="AE3982" t="str">
            <v>01 - RENOVADA</v>
          </cell>
          <cell r="AP3982">
            <v>70230672</v>
          </cell>
        </row>
        <row r="3983">
          <cell r="AE3983" t="str">
            <v>01 - RENOVADA</v>
          </cell>
          <cell r="AP3983">
            <v>70235228</v>
          </cell>
        </row>
        <row r="3984">
          <cell r="AE3984" t="str">
            <v>01 - RENOVADA</v>
          </cell>
          <cell r="AP3984">
            <v>70235231</v>
          </cell>
        </row>
        <row r="3985">
          <cell r="AE3985" t="str">
            <v>01 - RENOVADA</v>
          </cell>
          <cell r="AP3985">
            <v>70235101</v>
          </cell>
        </row>
        <row r="3986">
          <cell r="AE3986" t="str">
            <v>01 - RENOVADA</v>
          </cell>
          <cell r="AP3986">
            <v>70235096</v>
          </cell>
        </row>
        <row r="3987">
          <cell r="AE3987" t="str">
            <v>03 - PENDIENTE</v>
          </cell>
          <cell r="AP3987">
            <v>6000005511</v>
          </cell>
        </row>
        <row r="3988">
          <cell r="AE3988" t="str">
            <v>04 - NO RENOVADA</v>
          </cell>
          <cell r="AP3988">
            <v>2402415800111</v>
          </cell>
        </row>
        <row r="3989">
          <cell r="AE3989" t="str">
            <v>01 - RENOVADA</v>
          </cell>
          <cell r="AP3989">
            <v>70240304</v>
          </cell>
        </row>
        <row r="3990">
          <cell r="AE3990" t="str">
            <v>01 - RENOVADA</v>
          </cell>
          <cell r="AP3990">
            <v>70240307</v>
          </cell>
        </row>
        <row r="3991">
          <cell r="AE3991" t="str">
            <v>05 - ANULADA EN VIGENCIA</v>
          </cell>
          <cell r="AP3991">
            <v>6000030129</v>
          </cell>
        </row>
        <row r="3992">
          <cell r="AE3992" t="str">
            <v>01 - RENOVADA</v>
          </cell>
          <cell r="AP3992">
            <v>1012510101041</v>
          </cell>
        </row>
        <row r="3993">
          <cell r="AE3993" t="str">
            <v>01 - RENOVADA</v>
          </cell>
          <cell r="AP3993">
            <v>2312510100125</v>
          </cell>
        </row>
        <row r="3994">
          <cell r="AE3994" t="str">
            <v>03 - PENDIENTE</v>
          </cell>
          <cell r="AP3994">
            <v>1012510101582</v>
          </cell>
        </row>
        <row r="3995">
          <cell r="AE3995" t="str">
            <v>04 - NO RENOVADA</v>
          </cell>
          <cell r="AP3995">
            <v>6102220300109</v>
          </cell>
        </row>
        <row r="3996">
          <cell r="AE3996" t="str">
            <v>04 - NO RENOVADA</v>
          </cell>
          <cell r="AP3996">
            <v>7012200082577</v>
          </cell>
        </row>
        <row r="3997">
          <cell r="AE3997" t="str">
            <v>04 - NO RENOVADA</v>
          </cell>
          <cell r="AP3997">
            <v>7022200098135</v>
          </cell>
        </row>
        <row r="3998">
          <cell r="AE3998" t="str">
            <v>04 - NO RENOVADA</v>
          </cell>
          <cell r="AP3998">
            <v>60049706</v>
          </cell>
        </row>
        <row r="3999">
          <cell r="AE3999" t="str">
            <v>01 - RENOVADA</v>
          </cell>
          <cell r="AP3999">
            <v>70248245</v>
          </cell>
        </row>
        <row r="4000">
          <cell r="AE4000" t="str">
            <v>01 - RENOVADA</v>
          </cell>
          <cell r="AP4000">
            <v>70248247</v>
          </cell>
        </row>
        <row r="4001">
          <cell r="AE4001" t="str">
            <v>01 - RENOVADA</v>
          </cell>
          <cell r="AP4001">
            <v>70248254</v>
          </cell>
        </row>
        <row r="4002">
          <cell r="AE4002" t="str">
            <v>05 - ANULADA EN VIGENCIA</v>
          </cell>
          <cell r="AP4002">
            <v>70248230</v>
          </cell>
        </row>
        <row r="4003">
          <cell r="AE4003" t="str">
            <v>01 - RENOVADA</v>
          </cell>
          <cell r="AP4003">
            <v>70248230</v>
          </cell>
        </row>
        <row r="4004">
          <cell r="AE4004" t="str">
            <v>01 - RENOVADA</v>
          </cell>
          <cell r="AP4004">
            <v>70248232</v>
          </cell>
        </row>
        <row r="4005">
          <cell r="AE4005" t="str">
            <v>01 - RENOVADA</v>
          </cell>
          <cell r="AP4005">
            <v>60054068</v>
          </cell>
        </row>
        <row r="4006">
          <cell r="AE4006" t="str">
            <v>01 - RENOVADA</v>
          </cell>
          <cell r="AP4006">
            <v>70248250</v>
          </cell>
        </row>
        <row r="4007">
          <cell r="AE4007" t="str">
            <v>01 - RENOVADA</v>
          </cell>
          <cell r="AP4007">
            <v>70248244</v>
          </cell>
        </row>
        <row r="4008">
          <cell r="AE4008" t="str">
            <v>01 - RENOVADA</v>
          </cell>
          <cell r="AP4008">
            <v>70248252</v>
          </cell>
        </row>
        <row r="4009">
          <cell r="AE4009" t="str">
            <v>04 - NO RENOVADA</v>
          </cell>
          <cell r="AP4009">
            <v>1012410700194</v>
          </cell>
        </row>
        <row r="4010">
          <cell r="AE4010" t="str">
            <v>03 - PENDIENTE</v>
          </cell>
          <cell r="AP4010">
            <v>1012510100725</v>
          </cell>
        </row>
        <row r="4011">
          <cell r="AE4011" t="str">
            <v>04 - NO RENOVADA</v>
          </cell>
          <cell r="AP4011">
            <v>2402510106896</v>
          </cell>
        </row>
        <row r="4012">
          <cell r="AE4012" t="str">
            <v>04 - NO RENOVADA</v>
          </cell>
          <cell r="AP4012">
            <v>60051505</v>
          </cell>
        </row>
        <row r="4013">
          <cell r="AE4013" t="str">
            <v>04 - NO RENOVADA</v>
          </cell>
          <cell r="AP4013">
            <v>2402415800106</v>
          </cell>
        </row>
        <row r="4014">
          <cell r="AE4014" t="str">
            <v>04 - NO RENOVADA</v>
          </cell>
          <cell r="AP4014">
            <v>2312415800004</v>
          </cell>
        </row>
        <row r="4015">
          <cell r="AE4015" t="str">
            <v>04 - NO RENOVADA</v>
          </cell>
          <cell r="AP4015">
            <v>2402415800107</v>
          </cell>
        </row>
        <row r="4016">
          <cell r="AE4016" t="str">
            <v>04 - NO RENOVADA</v>
          </cell>
          <cell r="AP4016">
            <v>542936</v>
          </cell>
        </row>
        <row r="4017">
          <cell r="AE4017" t="str">
            <v>03 - PENDIENTE</v>
          </cell>
          <cell r="AP4017">
            <v>220026638</v>
          </cell>
        </row>
        <row r="4018">
          <cell r="AE4018" t="str">
            <v>04 - NO RENOVADA</v>
          </cell>
          <cell r="AP4018">
            <v>70201482</v>
          </cell>
        </row>
        <row r="4019">
          <cell r="AE4019" t="str">
            <v>04 - NO RENOVADA</v>
          </cell>
          <cell r="AP4019">
            <v>70201483</v>
          </cell>
        </row>
        <row r="4020">
          <cell r="AE4020" t="str">
            <v>04 - NO RENOVADA</v>
          </cell>
          <cell r="AP4020">
            <v>70201484</v>
          </cell>
        </row>
        <row r="4021">
          <cell r="AE4021" t="str">
            <v>04 - NO RENOVADA</v>
          </cell>
          <cell r="AP4021">
            <v>70201485</v>
          </cell>
        </row>
        <row r="4022">
          <cell r="AE4022" t="str">
            <v>04 - NO RENOVADA</v>
          </cell>
          <cell r="AP4022">
            <v>70201486</v>
          </cell>
        </row>
        <row r="4023">
          <cell r="AE4023" t="str">
            <v>04 - NO RENOVADA</v>
          </cell>
          <cell r="AP4023">
            <v>70201488</v>
          </cell>
        </row>
        <row r="4024">
          <cell r="AE4024" t="str">
            <v>04 - NO RENOVADA</v>
          </cell>
          <cell r="AP4024">
            <v>70201489</v>
          </cell>
        </row>
        <row r="4025">
          <cell r="AE4025" t="str">
            <v>03 - PENDIENTE</v>
          </cell>
          <cell r="AP4025">
            <v>230267274</v>
          </cell>
        </row>
        <row r="4026">
          <cell r="AE4026" t="str">
            <v>04 - NO RENOVADA</v>
          </cell>
          <cell r="AP4026">
            <v>1012320300022</v>
          </cell>
        </row>
        <row r="4027">
          <cell r="AE4027" t="str">
            <v>04 - NO RENOVADA</v>
          </cell>
          <cell r="AP4027">
            <v>1012415800004</v>
          </cell>
        </row>
        <row r="4028">
          <cell r="AE4028" t="str">
            <v>03 - PENDIENTE</v>
          </cell>
          <cell r="AP4028">
            <v>70202678</v>
          </cell>
        </row>
        <row r="4029">
          <cell r="AE4029" t="str">
            <v>01 - RENOVADA</v>
          </cell>
          <cell r="AP4029">
            <v>1300623124</v>
          </cell>
        </row>
        <row r="4030">
          <cell r="AE4030" t="str">
            <v>01 - RENOVADA</v>
          </cell>
          <cell r="AP4030">
            <v>1300623548</v>
          </cell>
        </row>
        <row r="4031">
          <cell r="AE4031" t="str">
            <v>01 - RENOVADA</v>
          </cell>
          <cell r="AP4031">
            <v>220027973</v>
          </cell>
        </row>
        <row r="4032">
          <cell r="AE4032" t="str">
            <v>04 - NO RENOVADA</v>
          </cell>
          <cell r="AP4032">
            <v>87667263</v>
          </cell>
        </row>
        <row r="4033">
          <cell r="AE4033" t="str">
            <v>04 - NO RENOVADA</v>
          </cell>
          <cell r="AP4033">
            <v>17406898</v>
          </cell>
        </row>
        <row r="4034">
          <cell r="AE4034" t="str">
            <v>04 - NO RENOVADA</v>
          </cell>
          <cell r="AP4034">
            <v>17406899</v>
          </cell>
        </row>
        <row r="4035">
          <cell r="AE4035" t="str">
            <v>04 - NO RENOVADA</v>
          </cell>
          <cell r="AP4035">
            <v>17410629</v>
          </cell>
        </row>
        <row r="4036">
          <cell r="AE4036" t="str">
            <v>04 - NO RENOVADA</v>
          </cell>
          <cell r="AP4036">
            <v>17414284</v>
          </cell>
        </row>
        <row r="4037">
          <cell r="AE4037" t="str">
            <v>04 - NO RENOVADA</v>
          </cell>
          <cell r="AP4037">
            <v>17416161</v>
          </cell>
        </row>
        <row r="4038">
          <cell r="AE4038" t="str">
            <v>04 - NO RENOVADA</v>
          </cell>
          <cell r="AP4038">
            <v>17419967</v>
          </cell>
        </row>
        <row r="4039">
          <cell r="AE4039" t="str">
            <v>04 - NO RENOVADA</v>
          </cell>
          <cell r="AP4039">
            <v>17427244</v>
          </cell>
        </row>
        <row r="4040">
          <cell r="AE4040" t="str">
            <v>04 - NO RENOVADA</v>
          </cell>
          <cell r="AP4040">
            <v>17435530</v>
          </cell>
        </row>
        <row r="4041">
          <cell r="AE4041" t="str">
            <v>04 - NO RENOVADA</v>
          </cell>
          <cell r="AP4041">
            <v>17438501</v>
          </cell>
        </row>
        <row r="4042">
          <cell r="AE4042" t="str">
            <v>04 - NO RENOVADA</v>
          </cell>
          <cell r="AP4042">
            <v>17465342</v>
          </cell>
        </row>
        <row r="4043">
          <cell r="AE4043" t="str">
            <v>04 - NO RENOVADA</v>
          </cell>
          <cell r="AP4043">
            <v>17492460</v>
          </cell>
        </row>
        <row r="4044">
          <cell r="AE4044" t="str">
            <v>04 - NO RENOVADA</v>
          </cell>
          <cell r="AP4044">
            <v>17491169</v>
          </cell>
        </row>
        <row r="4045">
          <cell r="AE4045" t="str">
            <v>04 - NO RENOVADA</v>
          </cell>
          <cell r="AP4045">
            <v>20107099</v>
          </cell>
        </row>
        <row r="4046">
          <cell r="AE4046" t="str">
            <v>04 - NO RENOVADA</v>
          </cell>
          <cell r="AP4046">
            <v>20088995</v>
          </cell>
        </row>
        <row r="4047">
          <cell r="AE4047" t="str">
            <v>05 - ANULADA EN VIGENCIA</v>
          </cell>
          <cell r="AP4047">
            <v>16565419</v>
          </cell>
        </row>
        <row r="4048">
          <cell r="AE4048" t="str">
            <v>05 - ANULADA EN VIGENCIA</v>
          </cell>
          <cell r="AP4048">
            <v>62013725</v>
          </cell>
        </row>
        <row r="4049">
          <cell r="AE4049" t="str">
            <v>05 - ANULADA EN VIGENCIA</v>
          </cell>
          <cell r="AP4049">
            <v>16718306</v>
          </cell>
        </row>
        <row r="4050">
          <cell r="AE4050" t="str">
            <v>05 - ANULADA EN VIGENCIA</v>
          </cell>
          <cell r="AP4050">
            <v>15802047</v>
          </cell>
        </row>
        <row r="4051">
          <cell r="AE4051" t="str">
            <v>05 - ANULADA EN VIGENCIA</v>
          </cell>
          <cell r="AP4051">
            <v>15802051</v>
          </cell>
        </row>
        <row r="4052">
          <cell r="AE4052" t="str">
            <v>05 - ANULADA EN VIGENCIA</v>
          </cell>
          <cell r="AP4052">
            <v>16579919</v>
          </cell>
        </row>
        <row r="4053">
          <cell r="AE4053" t="str">
            <v>05 - ANULADA EN VIGENCIA</v>
          </cell>
          <cell r="AP4053">
            <v>16579921</v>
          </cell>
        </row>
        <row r="4054">
          <cell r="AE4054" t="str">
            <v>05 - ANULADA EN VIGENCIA</v>
          </cell>
          <cell r="AP4054">
            <v>16579922</v>
          </cell>
        </row>
        <row r="4055">
          <cell r="AE4055" t="str">
            <v>05 - ANULADA EN VIGENCIA</v>
          </cell>
          <cell r="AP4055">
            <v>16735156</v>
          </cell>
        </row>
        <row r="4056">
          <cell r="AE4056" t="str">
            <v>05 - ANULADA EN VIGENCIA</v>
          </cell>
          <cell r="AP4056">
            <v>16744535</v>
          </cell>
        </row>
        <row r="4057">
          <cell r="AE4057" t="str">
            <v>05 - ANULADA EN VIGENCIA</v>
          </cell>
          <cell r="AP4057">
            <v>16744546</v>
          </cell>
        </row>
        <row r="4058">
          <cell r="AE4058" t="str">
            <v>05 - ANULADA EN VIGENCIA</v>
          </cell>
          <cell r="AP4058">
            <v>16687469</v>
          </cell>
        </row>
        <row r="4059">
          <cell r="AE4059" t="str">
            <v>05 - ANULADA EN VIGENCIA</v>
          </cell>
          <cell r="AP4059">
            <v>16817069</v>
          </cell>
        </row>
        <row r="4060">
          <cell r="AE4060" t="str">
            <v>05 - ANULADA EN VIGENCIA</v>
          </cell>
          <cell r="AP4060">
            <v>15403843</v>
          </cell>
        </row>
        <row r="4061">
          <cell r="AE4061" t="str">
            <v>05 - ANULADA EN VIGENCIA</v>
          </cell>
          <cell r="AP4061">
            <v>15802050</v>
          </cell>
        </row>
        <row r="4062">
          <cell r="AE4062" t="str">
            <v>05 - ANULADA EN VIGENCIA</v>
          </cell>
          <cell r="AP4062">
            <v>16597142</v>
          </cell>
        </row>
        <row r="4063">
          <cell r="AE4063" t="str">
            <v>05 - ANULADA EN VIGENCIA</v>
          </cell>
          <cell r="AP4063">
            <v>16687472</v>
          </cell>
        </row>
        <row r="4064">
          <cell r="AE4064" t="str">
            <v>05 - ANULADA EN VIGENCIA</v>
          </cell>
          <cell r="AP4064">
            <v>16694192</v>
          </cell>
        </row>
        <row r="4065">
          <cell r="AE4065" t="str">
            <v>05 - ANULADA EN VIGENCIA</v>
          </cell>
          <cell r="AP4065">
            <v>27543</v>
          </cell>
        </row>
        <row r="4066">
          <cell r="AE4066" t="str">
            <v>05 - ANULADA EN VIGENCIA</v>
          </cell>
          <cell r="AP4066">
            <v>16920855</v>
          </cell>
        </row>
        <row r="4067">
          <cell r="AE4067" t="str">
            <v>05 - ANULADA EN VIGENCIA</v>
          </cell>
          <cell r="AP4067">
            <v>13656806</v>
          </cell>
        </row>
        <row r="4068">
          <cell r="AE4068" t="str">
            <v>05 - ANULADA EN VIGENCIA</v>
          </cell>
          <cell r="AP4068">
            <v>9218293</v>
          </cell>
        </row>
        <row r="4069">
          <cell r="AE4069" t="str">
            <v>05 - ANULADA EN VIGENCIA</v>
          </cell>
          <cell r="AP4069">
            <v>16742784</v>
          </cell>
        </row>
        <row r="4070">
          <cell r="AE4070" t="str">
            <v>05 - ANULADA EN VIGENCIA</v>
          </cell>
          <cell r="AP4070">
            <v>16868588</v>
          </cell>
        </row>
        <row r="4071">
          <cell r="AE4071" t="str">
            <v>05 - ANULADA EN VIGENCIA</v>
          </cell>
          <cell r="AP4071">
            <v>7011559900759</v>
          </cell>
        </row>
        <row r="4072">
          <cell r="AE4072" t="str">
            <v>05 - ANULADA EN VIGENCIA</v>
          </cell>
          <cell r="AP4072">
            <v>7021559900439</v>
          </cell>
        </row>
        <row r="4073">
          <cell r="AE4073" t="str">
            <v>05 - ANULADA EN VIGENCIA</v>
          </cell>
          <cell r="AP4073">
            <v>6101559900250</v>
          </cell>
        </row>
        <row r="4074">
          <cell r="AE4074" t="str">
            <v>05 - ANULADA EN VIGENCIA</v>
          </cell>
          <cell r="AP4074">
            <v>104798</v>
          </cell>
        </row>
        <row r="4075">
          <cell r="AE4075" t="str">
            <v>05 - ANULADA EN VIGENCIA</v>
          </cell>
          <cell r="AP4075">
            <v>117787</v>
          </cell>
        </row>
        <row r="4076">
          <cell r="AE4076" t="str">
            <v>05 - ANULADA EN VIGENCIA</v>
          </cell>
          <cell r="AP4076">
            <v>62090699</v>
          </cell>
        </row>
        <row r="4077">
          <cell r="AE4077" t="str">
            <v>05 - ANULADA EN VIGENCIA</v>
          </cell>
          <cell r="AP4077">
            <v>17612075</v>
          </cell>
        </row>
        <row r="4078">
          <cell r="AE4078" t="str">
            <v>05 - ANULADA EN VIGENCIA</v>
          </cell>
          <cell r="AP4078">
            <v>16759438</v>
          </cell>
        </row>
        <row r="4079">
          <cell r="AE4079" t="str">
            <v>05 - ANULADA EN VIGENCIA</v>
          </cell>
          <cell r="AP4079">
            <v>17024956</v>
          </cell>
        </row>
        <row r="4080">
          <cell r="AE4080" t="str">
            <v>05 - ANULADA EN VIGENCIA</v>
          </cell>
          <cell r="AP4080">
            <v>16693277</v>
          </cell>
        </row>
        <row r="4081">
          <cell r="AE4081" t="str">
            <v>05 - ANULADA EN VIGENCIA</v>
          </cell>
          <cell r="AP4081">
            <v>17057018</v>
          </cell>
        </row>
        <row r="4082">
          <cell r="AE4082" t="str">
            <v>01 - RENOVADA</v>
          </cell>
          <cell r="AP4082">
            <v>2009562216</v>
          </cell>
        </row>
        <row r="4083">
          <cell r="AE4083" t="str">
            <v>04 - NO RENOVADA</v>
          </cell>
          <cell r="AP4083">
            <v>7021800097925</v>
          </cell>
        </row>
        <row r="4084">
          <cell r="AE4084" t="str">
            <v>03 - PENDIENTE</v>
          </cell>
          <cell r="AP4084">
            <v>3012025038202</v>
          </cell>
        </row>
        <row r="4085">
          <cell r="AE4085" t="str">
            <v>03 - PENDIENTE</v>
          </cell>
          <cell r="AP4085">
            <v>518391</v>
          </cell>
        </row>
        <row r="4086">
          <cell r="AE4086" t="str">
            <v>04 - NO RENOVADA</v>
          </cell>
          <cell r="AP4086">
            <v>7822358</v>
          </cell>
        </row>
        <row r="4087">
          <cell r="AE4087" t="str">
            <v>02 - EN PROCESO</v>
          </cell>
          <cell r="AP4087">
            <v>1300369042</v>
          </cell>
        </row>
        <row r="4088">
          <cell r="AE4088" t="str">
            <v>05 - ANULADA EN VIGENCIA</v>
          </cell>
          <cell r="AP4088">
            <v>72558</v>
          </cell>
        </row>
        <row r="4089">
          <cell r="AE4089" t="str">
            <v>05 - ANULADA EN VIGENCIA</v>
          </cell>
          <cell r="AP4089">
            <v>102728</v>
          </cell>
        </row>
        <row r="4090">
          <cell r="AE4090" t="str">
            <v>05 - ANULADA EN VIGENCIA</v>
          </cell>
          <cell r="AP4090">
            <v>93948833</v>
          </cell>
        </row>
        <row r="4091">
          <cell r="AE4091" t="str">
            <v>05 - ANULADA EN VIGENCIA</v>
          </cell>
          <cell r="AP4091">
            <v>7012000039500</v>
          </cell>
        </row>
        <row r="4092">
          <cell r="AE4092" t="str">
            <v>05 - ANULADA EN VIGENCIA</v>
          </cell>
          <cell r="AP4092">
            <v>7022000045121</v>
          </cell>
        </row>
        <row r="4093">
          <cell r="AE4093" t="str">
            <v>05 - ANULADA EN VIGENCIA</v>
          </cell>
          <cell r="AP4093">
            <v>31268</v>
          </cell>
        </row>
        <row r="4094">
          <cell r="AE4094" t="str">
            <v>05 - ANULADA EN VIGENCIA</v>
          </cell>
          <cell r="AP4094">
            <v>7305652</v>
          </cell>
        </row>
        <row r="4095">
          <cell r="AE4095" t="str">
            <v>05 - ANULADA EN VIGENCIA</v>
          </cell>
          <cell r="AP4095">
            <v>16775569</v>
          </cell>
        </row>
        <row r="4096">
          <cell r="AE4096" t="str">
            <v>05 - ANULADA EN VIGENCIA</v>
          </cell>
          <cell r="AP4096">
            <v>1013817</v>
          </cell>
        </row>
        <row r="4097">
          <cell r="AE4097" t="str">
            <v>04 - NO RENOVADA</v>
          </cell>
          <cell r="AP4097">
            <v>7012400016886</v>
          </cell>
        </row>
        <row r="4098">
          <cell r="AE4098" t="str">
            <v>04 - NO RENOVADA</v>
          </cell>
          <cell r="AP4098">
            <v>7022400021722</v>
          </cell>
        </row>
        <row r="4099">
          <cell r="AE4099" t="str">
            <v>08 - VIGENCIA ANTERIOR</v>
          </cell>
          <cell r="AP4099">
            <v>2005940683</v>
          </cell>
        </row>
        <row r="4100">
          <cell r="AE4100" t="str">
            <v>05 - ANULADA EN VIGENCIA</v>
          </cell>
          <cell r="AP4100">
            <v>2007256786</v>
          </cell>
        </row>
        <row r="4101">
          <cell r="AE4101" t="str">
            <v>08 - VIGENCIA ANTERIOR</v>
          </cell>
          <cell r="AP4101">
            <v>2007424058</v>
          </cell>
        </row>
        <row r="4102">
          <cell r="AE4102" t="str">
            <v>03 - PENDIENTE</v>
          </cell>
          <cell r="AP4102">
            <v>7012100062827</v>
          </cell>
        </row>
        <row r="4103">
          <cell r="AE4103" t="str">
            <v>03 - PENDIENTE</v>
          </cell>
          <cell r="AP4103">
            <v>7022100073583</v>
          </cell>
        </row>
        <row r="4104">
          <cell r="AE4104" t="str">
            <v>01 - RENOVADA</v>
          </cell>
          <cell r="AP4104">
            <v>2008848013</v>
          </cell>
        </row>
        <row r="4105">
          <cell r="AE4105" t="str">
            <v>04 - NO RENOVADA</v>
          </cell>
          <cell r="AP4105">
            <v>231781</v>
          </cell>
        </row>
        <row r="4106">
          <cell r="AE4106" t="str">
            <v>08 - VIGENCIA ANTERIOR</v>
          </cell>
          <cell r="AP4106">
            <v>1265</v>
          </cell>
        </row>
        <row r="4107">
          <cell r="AE4107" t="str">
            <v>03 - PENDIENTE</v>
          </cell>
          <cell r="AP4107">
            <v>94858</v>
          </cell>
        </row>
        <row r="4108">
          <cell r="AE4108" t="str">
            <v>01 - RENOVADA</v>
          </cell>
          <cell r="AP4108">
            <v>825317</v>
          </cell>
        </row>
        <row r="4109">
          <cell r="AE4109" t="str">
            <v>01 - RENOVADA</v>
          </cell>
          <cell r="AP4109">
            <v>897761</v>
          </cell>
        </row>
        <row r="4110">
          <cell r="AE4110" t="str">
            <v>04 - NO RENOVADA</v>
          </cell>
          <cell r="AP4110" t="str">
            <v>P0302672</v>
          </cell>
        </row>
        <row r="4111">
          <cell r="AE4111" t="str">
            <v>04 - NO RENOVADA</v>
          </cell>
          <cell r="AP4111" t="str">
            <v>S0375677</v>
          </cell>
        </row>
        <row r="4112">
          <cell r="AE4112" t="str">
            <v>01 - RENOVADA</v>
          </cell>
          <cell r="AP4112">
            <v>7165022</v>
          </cell>
        </row>
        <row r="4113">
          <cell r="AE4113" t="str">
            <v>05 - ANULADA EN VIGENCIA</v>
          </cell>
          <cell r="AP4113">
            <v>900296</v>
          </cell>
        </row>
        <row r="4114">
          <cell r="AE4114" t="str">
            <v>04 - NO RENOVADA</v>
          </cell>
          <cell r="AP4114">
            <v>220020613</v>
          </cell>
        </row>
        <row r="4115">
          <cell r="AE4115" t="str">
            <v>05 - ANULADA EN VIGENCIA</v>
          </cell>
          <cell r="AP4115">
            <v>1059991</v>
          </cell>
        </row>
        <row r="4116">
          <cell r="AE4116" t="str">
            <v>05 - ANULADA EN VIGENCIA</v>
          </cell>
          <cell r="AP4116">
            <v>1266234</v>
          </cell>
        </row>
        <row r="4117">
          <cell r="AE4117" t="str">
            <v>05 - ANULADA EN VIGENCIA</v>
          </cell>
          <cell r="AP4117">
            <v>1357994</v>
          </cell>
        </row>
        <row r="4118">
          <cell r="AE4118" t="str">
            <v>05 - ANULADA EN VIGENCIA</v>
          </cell>
          <cell r="AP4118">
            <v>6618989</v>
          </cell>
        </row>
        <row r="4119">
          <cell r="AE4119" t="str">
            <v>05 - ANULADA EN VIGENCIA</v>
          </cell>
          <cell r="AP4119">
            <v>7525104</v>
          </cell>
        </row>
        <row r="4120">
          <cell r="AE4120" t="str">
            <v>01 - RENOVADA</v>
          </cell>
          <cell r="AP4120">
            <v>2402110100192</v>
          </cell>
        </row>
        <row r="4121">
          <cell r="AE4121" t="str">
            <v>01 - RENOVADA</v>
          </cell>
          <cell r="AP4121">
            <v>21504</v>
          </cell>
        </row>
        <row r="4122">
          <cell r="AE4122" t="str">
            <v>04 - NO RENOVADA</v>
          </cell>
          <cell r="AP4122">
            <v>1161910116794</v>
          </cell>
        </row>
        <row r="4123">
          <cell r="AE4123" t="str">
            <v>01 - RENOVADA</v>
          </cell>
          <cell r="AP4123">
            <v>2009973060</v>
          </cell>
        </row>
        <row r="4124">
          <cell r="AE4124" t="str">
            <v>01 - RENOVADA</v>
          </cell>
          <cell r="AP4124">
            <v>16455230</v>
          </cell>
        </row>
        <row r="4125">
          <cell r="AE4125" t="str">
            <v>03 - PENDIENTE</v>
          </cell>
          <cell r="AP4125">
            <v>1688501</v>
          </cell>
        </row>
        <row r="4126">
          <cell r="AE4126" t="str">
            <v>04 - NO RENOVADA</v>
          </cell>
          <cell r="AP4126">
            <v>530305</v>
          </cell>
        </row>
        <row r="4127">
          <cell r="AE4127" t="str">
            <v>03 - PENDIENTE</v>
          </cell>
          <cell r="AP4127">
            <v>1002793388</v>
          </cell>
        </row>
        <row r="4128">
          <cell r="AE4128" t="str">
            <v>01 - RENOVADA</v>
          </cell>
          <cell r="AP4128">
            <v>1547943</v>
          </cell>
        </row>
        <row r="4129">
          <cell r="AE4129" t="str">
            <v>03 - PENDIENTE</v>
          </cell>
          <cell r="AP4129">
            <v>1003677</v>
          </cell>
        </row>
        <row r="4130">
          <cell r="AE4130" t="str">
            <v>03 - PENDIENTE</v>
          </cell>
          <cell r="AP4130">
            <v>1009819</v>
          </cell>
        </row>
        <row r="4131">
          <cell r="AE4131" t="str">
            <v>01 - RENOVADA</v>
          </cell>
          <cell r="AP4131">
            <v>2031959903114</v>
          </cell>
        </row>
        <row r="4132">
          <cell r="AE4132" t="str">
            <v>01 - RENOVADA</v>
          </cell>
          <cell r="AP4132">
            <v>2101959900039</v>
          </cell>
        </row>
        <row r="4133">
          <cell r="AE4133" t="str">
            <v>05 - ANULADA EN VIGENCIA</v>
          </cell>
          <cell r="AP4133">
            <v>3011900059990</v>
          </cell>
        </row>
        <row r="4134">
          <cell r="AE4134" t="str">
            <v>01 - RENOVADA</v>
          </cell>
          <cell r="AP4134">
            <v>1504535</v>
          </cell>
        </row>
        <row r="4135">
          <cell r="AE4135" t="str">
            <v>05 - ANULADA EN VIGENCIA</v>
          </cell>
          <cell r="AP4135">
            <v>7587</v>
          </cell>
        </row>
        <row r="4136">
          <cell r="AE4136" t="str">
            <v>05 - ANULADA EN VIGENCIA</v>
          </cell>
          <cell r="AP4136">
            <v>8573</v>
          </cell>
        </row>
        <row r="4137">
          <cell r="AE4137" t="str">
            <v>05 - ANULADA EN VIGENCIA</v>
          </cell>
          <cell r="AP4137">
            <v>7119040</v>
          </cell>
        </row>
        <row r="4138">
          <cell r="AE4138" t="str">
            <v>01 - RENOVADA</v>
          </cell>
          <cell r="AP4138">
            <v>1546062</v>
          </cell>
        </row>
        <row r="4139">
          <cell r="AE4139" t="str">
            <v>05 - ANULADA EN VIGENCIA</v>
          </cell>
          <cell r="AP4139">
            <v>1098213</v>
          </cell>
        </row>
        <row r="4140">
          <cell r="AE4140" t="str">
            <v>01 - RENOVADA</v>
          </cell>
          <cell r="AP4140">
            <v>571470</v>
          </cell>
        </row>
        <row r="4141">
          <cell r="AE4141" t="str">
            <v>05 - ANULADA EN VIGENCIA</v>
          </cell>
          <cell r="AP4141">
            <v>2009844385</v>
          </cell>
        </row>
        <row r="4142">
          <cell r="AE4142" t="str">
            <v>01 - RENOVADA</v>
          </cell>
          <cell r="AP4142">
            <v>101890</v>
          </cell>
        </row>
        <row r="4143">
          <cell r="AE4143" t="str">
            <v>04 - NO RENOVADA</v>
          </cell>
          <cell r="AP4143">
            <v>42594</v>
          </cell>
        </row>
        <row r="4144">
          <cell r="AE4144" t="str">
            <v>05 - ANULADA EN VIGENCIA</v>
          </cell>
          <cell r="AP4144">
            <v>241354</v>
          </cell>
        </row>
        <row r="4145">
          <cell r="AE4145" t="str">
            <v>05 - ANULADA EN VIGENCIA</v>
          </cell>
          <cell r="AP4145">
            <v>241535</v>
          </cell>
        </row>
        <row r="4146">
          <cell r="AE4146" t="str">
            <v>01 - RENOVADA</v>
          </cell>
          <cell r="AP4146">
            <v>527091</v>
          </cell>
        </row>
        <row r="4147">
          <cell r="AE4147" t="str">
            <v>05 - ANULADA EN VIGENCIA</v>
          </cell>
          <cell r="AP4147" t="str">
            <v>E0001919</v>
          </cell>
        </row>
        <row r="4148">
          <cell r="AE4148" t="str">
            <v>05 - ANULADA EN VIGENCIA</v>
          </cell>
          <cell r="AP4148">
            <v>45569</v>
          </cell>
        </row>
        <row r="4149">
          <cell r="AE4149" t="str">
            <v>04 - NO RENOVADA</v>
          </cell>
          <cell r="AP4149">
            <v>47895</v>
          </cell>
        </row>
        <row r="4150">
          <cell r="AE4150" t="str">
            <v>03 - PENDIENTE</v>
          </cell>
          <cell r="AP4150">
            <v>53657</v>
          </cell>
        </row>
        <row r="4151">
          <cell r="AE4151" t="str">
            <v>03 - PENDIENTE</v>
          </cell>
          <cell r="AP4151">
            <v>53662</v>
          </cell>
        </row>
        <row r="4152">
          <cell r="AE4152" t="str">
            <v>03 - PENDIENTE</v>
          </cell>
          <cell r="AP4152">
            <v>53653</v>
          </cell>
        </row>
        <row r="4153">
          <cell r="AE4153" t="str">
            <v>03 - PENDIENTE</v>
          </cell>
          <cell r="AP4153">
            <v>122903</v>
          </cell>
        </row>
        <row r="4154">
          <cell r="AE4154" t="str">
            <v>03 - PENDIENTE</v>
          </cell>
          <cell r="AP4154">
            <v>62095431</v>
          </cell>
        </row>
        <row r="4155">
          <cell r="AE4155" t="str">
            <v>04 - NO RENOVADA</v>
          </cell>
          <cell r="AP4155">
            <v>15938</v>
          </cell>
        </row>
        <row r="4156">
          <cell r="AE4156" t="str">
            <v>04 - NO RENOVADA</v>
          </cell>
          <cell r="AP4156">
            <v>18275</v>
          </cell>
        </row>
        <row r="4157">
          <cell r="AE4157" t="str">
            <v>01 - RENOVADA</v>
          </cell>
          <cell r="AP4157">
            <v>70252855</v>
          </cell>
        </row>
        <row r="4158">
          <cell r="AE4158" t="str">
            <v>04 - NO RENOVADA</v>
          </cell>
          <cell r="AP4158">
            <v>16805814</v>
          </cell>
        </row>
        <row r="4159">
          <cell r="AE4159" t="str">
            <v>01 - RENOVADA</v>
          </cell>
          <cell r="AP4159">
            <v>2102259900005</v>
          </cell>
        </row>
        <row r="4160">
          <cell r="AE4160" t="str">
            <v>01 - RENOVADA</v>
          </cell>
          <cell r="AP4160">
            <v>2402259900068</v>
          </cell>
        </row>
        <row r="4161">
          <cell r="AE4161" t="str">
            <v>01 - RENOVADA</v>
          </cell>
          <cell r="AP4161">
            <v>2032259900049</v>
          </cell>
        </row>
        <row r="4162">
          <cell r="AE4162" t="str">
            <v>07 - DEVUELTO A AON</v>
          </cell>
          <cell r="AP4162">
            <v>16669292</v>
          </cell>
        </row>
        <row r="4163">
          <cell r="AE4163" t="str">
            <v>01 - RENOVADA</v>
          </cell>
          <cell r="AP4163">
            <v>9261254</v>
          </cell>
        </row>
        <row r="4164">
          <cell r="AE4164" t="str">
            <v>01 - RENOVADA</v>
          </cell>
          <cell r="AP4164">
            <v>70208168</v>
          </cell>
        </row>
        <row r="4165">
          <cell r="AE4165" t="str">
            <v>01 - RENOVADA</v>
          </cell>
          <cell r="AP4165">
            <v>87975</v>
          </cell>
        </row>
        <row r="4166">
          <cell r="AE4166" t="str">
            <v>01 - RENOVADA</v>
          </cell>
          <cell r="AP4166">
            <v>70210624</v>
          </cell>
        </row>
        <row r="4167">
          <cell r="AE4167" t="str">
            <v>01 - RENOVADA</v>
          </cell>
          <cell r="AP4167">
            <v>30382574</v>
          </cell>
        </row>
        <row r="4168">
          <cell r="AE4168" t="str">
            <v>05 - ANULADA EN VIGENCIA</v>
          </cell>
          <cell r="AP4168">
            <v>230206461</v>
          </cell>
        </row>
        <row r="4169">
          <cell r="AE4169" t="str">
            <v>01 - RENOVADA</v>
          </cell>
          <cell r="AP4169">
            <v>2009556739</v>
          </cell>
        </row>
        <row r="4170">
          <cell r="AE4170" t="str">
            <v>01 - RENOVADA</v>
          </cell>
          <cell r="AP4170">
            <v>220019573</v>
          </cell>
        </row>
        <row r="4171">
          <cell r="AE4171" t="str">
            <v>01 - RENOVADA</v>
          </cell>
          <cell r="AP4171">
            <v>220021996</v>
          </cell>
        </row>
        <row r="4172">
          <cell r="AE4172" t="str">
            <v>01 - RENOVADA</v>
          </cell>
          <cell r="AP4172">
            <v>220019574</v>
          </cell>
        </row>
        <row r="4173">
          <cell r="AE4173" t="str">
            <v>01 - RENOVADA</v>
          </cell>
          <cell r="AP4173">
            <v>220022012</v>
          </cell>
        </row>
        <row r="4174">
          <cell r="AE4174" t="str">
            <v>03 - PENDIENTE</v>
          </cell>
          <cell r="AP4174">
            <v>21424016</v>
          </cell>
        </row>
        <row r="4175">
          <cell r="AE4175" t="str">
            <v>03 - PENDIENTE</v>
          </cell>
          <cell r="AP4175">
            <v>21442100</v>
          </cell>
        </row>
        <row r="4176">
          <cell r="AE4176" t="str">
            <v>01 - RENOVADA</v>
          </cell>
          <cell r="AP4176">
            <v>4071242</v>
          </cell>
        </row>
        <row r="4177">
          <cell r="AE4177" t="str">
            <v>01 - RENOVADA</v>
          </cell>
          <cell r="AP4177">
            <v>994266</v>
          </cell>
        </row>
        <row r="4178">
          <cell r="AE4178" t="str">
            <v>01 - RENOVADA</v>
          </cell>
          <cell r="AP4178" t="str">
            <v>E0022613</v>
          </cell>
        </row>
        <row r="4179">
          <cell r="AE4179" t="str">
            <v>03 - PENDIENTE</v>
          </cell>
          <cell r="AP4179">
            <v>70246846</v>
          </cell>
        </row>
        <row r="4180">
          <cell r="AE4180" t="str">
            <v>03 - PENDIENTE</v>
          </cell>
          <cell r="AP4180">
            <v>1019302038</v>
          </cell>
        </row>
        <row r="4181">
          <cell r="AE4181" t="str">
            <v>05 - ANULADA EN VIGENCIA</v>
          </cell>
          <cell r="AP4181">
            <v>1396451</v>
          </cell>
        </row>
        <row r="4182">
          <cell r="AE4182" t="str">
            <v>05 - ANULADA EN VIGENCIA</v>
          </cell>
          <cell r="AP4182">
            <v>70195377</v>
          </cell>
        </row>
        <row r="4183">
          <cell r="AE4183" t="str">
            <v>03 - PENDIENTE</v>
          </cell>
          <cell r="AP4183">
            <v>80596876</v>
          </cell>
        </row>
        <row r="4184">
          <cell r="AE4184" t="str">
            <v>01 - RENOVADA</v>
          </cell>
          <cell r="AP4184">
            <v>70250323</v>
          </cell>
        </row>
        <row r="4185">
          <cell r="AE4185" t="str">
            <v>02 - EN PROCESO</v>
          </cell>
          <cell r="AP4185">
            <v>1300369041</v>
          </cell>
        </row>
        <row r="4186">
          <cell r="AE4186" t="str">
            <v>05 - ANULADA EN VIGENCIA</v>
          </cell>
          <cell r="AP4186">
            <v>72688</v>
          </cell>
        </row>
        <row r="4187">
          <cell r="AE4187" t="str">
            <v>05 - ANULADA EN VIGENCIA</v>
          </cell>
          <cell r="AP4187">
            <v>7012100029166</v>
          </cell>
        </row>
        <row r="4188">
          <cell r="AE4188" t="str">
            <v>05 - ANULADA EN VIGENCIA</v>
          </cell>
          <cell r="AP4188">
            <v>70151204</v>
          </cell>
        </row>
        <row r="4189">
          <cell r="AE4189" t="str">
            <v>05 - ANULADA EN VIGENCIA</v>
          </cell>
          <cell r="AP4189">
            <v>70150818</v>
          </cell>
        </row>
        <row r="4190">
          <cell r="AE4190" t="str">
            <v>05 - ANULADA EN VIGENCIA</v>
          </cell>
          <cell r="AP4190">
            <v>70140094</v>
          </cell>
        </row>
        <row r="4191">
          <cell r="AE4191" t="str">
            <v>04 - NO RENOVADA</v>
          </cell>
          <cell r="AP4191">
            <v>7012000012822</v>
          </cell>
        </row>
        <row r="4192">
          <cell r="AE4192" t="str">
            <v>04 - NO RENOVADA</v>
          </cell>
          <cell r="AP4192">
            <v>7022000014875</v>
          </cell>
        </row>
        <row r="4193">
          <cell r="AE4193" t="str">
            <v>04 - NO RENOVADA</v>
          </cell>
          <cell r="AP4193">
            <v>89131</v>
          </cell>
        </row>
        <row r="4194">
          <cell r="AE4194" t="str">
            <v>05 - ANULADA EN VIGENCIA</v>
          </cell>
          <cell r="AP4194">
            <v>17123668</v>
          </cell>
        </row>
        <row r="4195">
          <cell r="AE4195" t="str">
            <v>08 - VIGENCIA ANTERIOR</v>
          </cell>
          <cell r="AP4195" t="str">
            <v>42-00145-2</v>
          </cell>
        </row>
        <row r="4196">
          <cell r="AE4196" t="str">
            <v>01 - RENOVADA</v>
          </cell>
          <cell r="AP4196" t="str">
            <v>42-00006-5</v>
          </cell>
        </row>
        <row r="4197">
          <cell r="AE4197" t="str">
            <v>04 - NO RENOVADA</v>
          </cell>
          <cell r="AP4197">
            <v>514722</v>
          </cell>
        </row>
        <row r="4198">
          <cell r="AE4198" t="str">
            <v>04 - NO RENOVADA</v>
          </cell>
          <cell r="AP4198">
            <v>516122</v>
          </cell>
        </row>
        <row r="4199">
          <cell r="AE4199" t="str">
            <v>05 - ANULADA EN VIGENCIA</v>
          </cell>
          <cell r="AP4199">
            <v>16469314</v>
          </cell>
        </row>
        <row r="4200">
          <cell r="AE4200" t="str">
            <v>04 - NO RENOVADA</v>
          </cell>
          <cell r="AP4200">
            <v>34653520</v>
          </cell>
        </row>
        <row r="4201">
          <cell r="AE4201" t="str">
            <v>04 - NO RENOVADA</v>
          </cell>
          <cell r="AP4201" t="str">
            <v>P0037485</v>
          </cell>
        </row>
        <row r="4202">
          <cell r="AE4202" t="str">
            <v>04 - NO RENOVADA</v>
          </cell>
          <cell r="AP4202" t="str">
            <v>S0034169</v>
          </cell>
        </row>
        <row r="4203">
          <cell r="AE4203" t="str">
            <v>05 - ANULADA EN VIGENCIA</v>
          </cell>
          <cell r="AP4203">
            <v>226093</v>
          </cell>
        </row>
        <row r="4204">
          <cell r="AE4204" t="str">
            <v>05 - ANULADA EN VIGENCIA</v>
          </cell>
          <cell r="AP4204">
            <v>94472132</v>
          </cell>
        </row>
        <row r="4205">
          <cell r="AE4205" t="str">
            <v>05 - ANULADA EN VIGENCIA</v>
          </cell>
          <cell r="AP4205">
            <v>25</v>
          </cell>
        </row>
        <row r="4206">
          <cell r="AE4206" t="str">
            <v>05 - ANULADA EN VIGENCIA</v>
          </cell>
          <cell r="AP4206" t="str">
            <v>E0017713</v>
          </cell>
        </row>
        <row r="4207">
          <cell r="AE4207" t="str">
            <v>05 - ANULADA EN VIGENCIA</v>
          </cell>
          <cell r="AP4207">
            <v>8478624</v>
          </cell>
        </row>
        <row r="4208">
          <cell r="AE4208" t="str">
            <v>05 - ANULADA EN VIGENCIA</v>
          </cell>
          <cell r="AP4208">
            <v>8478628</v>
          </cell>
        </row>
        <row r="4209">
          <cell r="AE4209" t="str">
            <v>05 - ANULADA EN VIGENCIA</v>
          </cell>
          <cell r="AP4209">
            <v>8495874</v>
          </cell>
        </row>
        <row r="4210">
          <cell r="AE4210" t="str">
            <v>05 - ANULADA EN VIGENCIA</v>
          </cell>
          <cell r="AP4210">
            <v>7762841</v>
          </cell>
        </row>
        <row r="4211">
          <cell r="AE4211" t="str">
            <v>05 - ANULADA EN VIGENCIA</v>
          </cell>
          <cell r="AP4211">
            <v>8504957</v>
          </cell>
        </row>
        <row r="4212">
          <cell r="AE4212" t="str">
            <v>05 - ANULADA EN VIGENCIA</v>
          </cell>
          <cell r="AP4212">
            <v>8504707</v>
          </cell>
        </row>
        <row r="4213">
          <cell r="AE4213" t="str">
            <v>05 - ANULADA EN VIGENCIA</v>
          </cell>
          <cell r="AP4213" t="str">
            <v>P0039943</v>
          </cell>
        </row>
        <row r="4214">
          <cell r="AE4214" t="str">
            <v>05 - ANULADA EN VIGENCIA</v>
          </cell>
          <cell r="AP4214" t="str">
            <v>S0036674</v>
          </cell>
        </row>
        <row r="4215">
          <cell r="AE4215" t="str">
            <v>05 - ANULADA EN VIGENCIA</v>
          </cell>
          <cell r="AP4215">
            <v>7863925</v>
          </cell>
        </row>
        <row r="4216">
          <cell r="AE4216" t="str">
            <v>05 - ANULADA EN VIGENCIA</v>
          </cell>
          <cell r="AP4216">
            <v>7863928</v>
          </cell>
        </row>
        <row r="4217">
          <cell r="AE4217" t="str">
            <v>05 - ANULADA EN VIGENCIA</v>
          </cell>
          <cell r="AP4217">
            <v>7864136</v>
          </cell>
        </row>
        <row r="4218">
          <cell r="AE4218" t="str">
            <v>05 - ANULADA EN VIGENCIA</v>
          </cell>
          <cell r="AP4218">
            <v>7863942</v>
          </cell>
        </row>
        <row r="4219">
          <cell r="AE4219" t="str">
            <v>05 - ANULADA EN VIGENCIA</v>
          </cell>
          <cell r="AP4219">
            <v>8618207</v>
          </cell>
        </row>
        <row r="4220">
          <cell r="AE4220" t="str">
            <v>05 - ANULADA EN VIGENCIA</v>
          </cell>
          <cell r="AP4220">
            <v>8595671</v>
          </cell>
        </row>
        <row r="4221">
          <cell r="AE4221" t="str">
            <v>05 - ANULADA EN VIGENCIA</v>
          </cell>
          <cell r="AP4221">
            <v>8595692</v>
          </cell>
        </row>
        <row r="4222">
          <cell r="AE4222" t="str">
            <v>05 - ANULADA EN VIGENCIA</v>
          </cell>
          <cell r="AP4222">
            <v>8595701</v>
          </cell>
        </row>
        <row r="4223">
          <cell r="AE4223" t="str">
            <v>05 - ANULADA EN VIGENCIA</v>
          </cell>
          <cell r="AP4223">
            <v>8595707</v>
          </cell>
        </row>
        <row r="4224">
          <cell r="AE4224" t="str">
            <v>05 - ANULADA EN VIGENCIA</v>
          </cell>
          <cell r="AP4224">
            <v>8654102</v>
          </cell>
        </row>
        <row r="4225">
          <cell r="AE4225" t="str">
            <v>05 - ANULADA EN VIGENCIA</v>
          </cell>
          <cell r="AP4225">
            <v>8052095</v>
          </cell>
        </row>
        <row r="4226">
          <cell r="AE4226" t="str">
            <v>05 - ANULADA EN VIGENCIA</v>
          </cell>
          <cell r="AP4226">
            <v>1085230</v>
          </cell>
        </row>
        <row r="4227">
          <cell r="AE4227" t="str">
            <v>05 - ANULADA EN VIGENCIA</v>
          </cell>
          <cell r="AP4227">
            <v>8098920</v>
          </cell>
        </row>
        <row r="4228">
          <cell r="AE4228" t="str">
            <v>05 - ANULADA EN VIGENCIA</v>
          </cell>
          <cell r="AP4228">
            <v>8098929</v>
          </cell>
        </row>
        <row r="4229">
          <cell r="AE4229" t="str">
            <v>05 - ANULADA EN VIGENCIA</v>
          </cell>
          <cell r="AP4229">
            <v>8098986</v>
          </cell>
        </row>
        <row r="4230">
          <cell r="AE4230" t="str">
            <v>05 - ANULADA EN VIGENCIA</v>
          </cell>
          <cell r="AP4230">
            <v>8099017</v>
          </cell>
        </row>
        <row r="4231">
          <cell r="AE4231" t="str">
            <v>05 - ANULADA EN VIGENCIA</v>
          </cell>
          <cell r="AP4231">
            <v>8099080</v>
          </cell>
        </row>
        <row r="4232">
          <cell r="AE4232" t="str">
            <v>05 - ANULADA EN VIGENCIA</v>
          </cell>
          <cell r="AP4232">
            <v>1374779</v>
          </cell>
        </row>
        <row r="4233">
          <cell r="AE4233" t="str">
            <v>05 - ANULADA EN VIGENCIA</v>
          </cell>
          <cell r="AP4233">
            <v>8168641</v>
          </cell>
        </row>
        <row r="4234">
          <cell r="AE4234" t="str">
            <v>05 - ANULADA EN VIGENCIA</v>
          </cell>
          <cell r="AP4234">
            <v>8207894</v>
          </cell>
        </row>
        <row r="4235">
          <cell r="AE4235" t="str">
            <v>05 - ANULADA EN VIGENCIA</v>
          </cell>
          <cell r="AP4235" t="str">
            <v>E0018798</v>
          </cell>
        </row>
        <row r="4236">
          <cell r="AE4236" t="str">
            <v>04 - NO RENOVADA</v>
          </cell>
          <cell r="AP4236">
            <v>14591954</v>
          </cell>
        </row>
        <row r="4237">
          <cell r="AE4237" t="str">
            <v>05 - ANULADA EN VIGENCIA</v>
          </cell>
          <cell r="AP4237">
            <v>16768281</v>
          </cell>
        </row>
        <row r="4238">
          <cell r="AE4238" t="str">
            <v>01 - RENOVADA</v>
          </cell>
          <cell r="AP4238">
            <v>78835</v>
          </cell>
        </row>
        <row r="4239">
          <cell r="AE4239" t="str">
            <v>04 - NO RENOVADA</v>
          </cell>
          <cell r="AP4239">
            <v>555406</v>
          </cell>
        </row>
        <row r="4240">
          <cell r="AE4240" t="str">
            <v>04 - NO RENOVADA</v>
          </cell>
          <cell r="AP4240">
            <v>19683148</v>
          </cell>
        </row>
        <row r="4241">
          <cell r="AE4241" t="str">
            <v>04 - NO RENOVADA</v>
          </cell>
          <cell r="AP4241">
            <v>20155705</v>
          </cell>
        </row>
        <row r="4242">
          <cell r="AE4242" t="str">
            <v>04 - NO RENOVADA</v>
          </cell>
          <cell r="AP4242">
            <v>18388040</v>
          </cell>
        </row>
        <row r="4243">
          <cell r="AE4243" t="str">
            <v>04 - NO RENOVADA</v>
          </cell>
          <cell r="AP4243">
            <v>230247699</v>
          </cell>
        </row>
        <row r="4244">
          <cell r="AE4244" t="str">
            <v>04 - NO RENOVADA</v>
          </cell>
          <cell r="AP4244">
            <v>21261813</v>
          </cell>
        </row>
        <row r="4245">
          <cell r="AE4245" t="str">
            <v>04 - NO RENOVADA</v>
          </cell>
          <cell r="AP4245">
            <v>19111880</v>
          </cell>
        </row>
        <row r="4246">
          <cell r="AE4246" t="str">
            <v>05 - ANULADA EN VIGENCIA</v>
          </cell>
          <cell r="AP4246">
            <v>21190370</v>
          </cell>
        </row>
        <row r="4247">
          <cell r="AE4247" t="str">
            <v>05 - ANULADA EN VIGENCIA</v>
          </cell>
          <cell r="AP4247">
            <v>325</v>
          </cell>
        </row>
        <row r="4248">
          <cell r="AE4248" t="str">
            <v>05 - ANULADA EN VIGENCIA</v>
          </cell>
          <cell r="AP4248">
            <v>325</v>
          </cell>
        </row>
        <row r="4249">
          <cell r="AE4249" t="str">
            <v>05 - ANULADA EN VIGENCIA</v>
          </cell>
          <cell r="AP4249" t="str">
            <v>E0019808</v>
          </cell>
        </row>
        <row r="4250">
          <cell r="AE4250" t="str">
            <v>05 - ANULADA EN VIGENCIA</v>
          </cell>
          <cell r="AP4250" t="str">
            <v>E0021005</v>
          </cell>
        </row>
        <row r="4251">
          <cell r="AE4251" t="str">
            <v>05 - ANULADA EN VIGENCIA</v>
          </cell>
          <cell r="AP4251">
            <v>319</v>
          </cell>
        </row>
        <row r="4252">
          <cell r="AE4252" t="str">
            <v>04 - NO RENOVADA</v>
          </cell>
          <cell r="AP4252" t="str">
            <v>P0141496</v>
          </cell>
        </row>
        <row r="4253">
          <cell r="AE4253" t="str">
            <v>04 - NO RENOVADA</v>
          </cell>
          <cell r="AP4253" t="str">
            <v>S0134617</v>
          </cell>
        </row>
        <row r="4254">
          <cell r="AE4254" t="str">
            <v>05 - ANULADA EN VIGENCIA</v>
          </cell>
          <cell r="AP4254">
            <v>2031859900083</v>
          </cell>
        </row>
        <row r="4255">
          <cell r="AE4255" t="str">
            <v>08 - VIGENCIA ANTERIOR</v>
          </cell>
          <cell r="AP4255">
            <v>204262</v>
          </cell>
        </row>
        <row r="4256">
          <cell r="AE4256" t="str">
            <v>01 - RENOVADA</v>
          </cell>
          <cell r="AP4256">
            <v>1565377</v>
          </cell>
        </row>
        <row r="4257">
          <cell r="AE4257" t="str">
            <v>01 - RENOVADA</v>
          </cell>
          <cell r="AP4257">
            <v>2010122303</v>
          </cell>
        </row>
        <row r="4258">
          <cell r="AE4258" t="str">
            <v>05 - ANULADA EN VIGENCIA</v>
          </cell>
          <cell r="AP4258">
            <v>3012000038338</v>
          </cell>
        </row>
        <row r="4259">
          <cell r="AE4259" t="str">
            <v>01 - RENOVADA</v>
          </cell>
          <cell r="AP4259">
            <v>538080</v>
          </cell>
        </row>
        <row r="4260">
          <cell r="AE4260" t="str">
            <v>01 - RENOVADA</v>
          </cell>
          <cell r="AP4260">
            <v>502011</v>
          </cell>
        </row>
        <row r="4261">
          <cell r="AE4261" t="str">
            <v>01 - RENOVADA</v>
          </cell>
          <cell r="AP4261">
            <v>507049</v>
          </cell>
        </row>
        <row r="4262">
          <cell r="AE4262" t="str">
            <v>05 - ANULADA EN VIGENCIA</v>
          </cell>
          <cell r="AP4262">
            <v>863187</v>
          </cell>
        </row>
        <row r="4263">
          <cell r="AE4263" t="str">
            <v>05 - ANULADA EN VIGENCIA</v>
          </cell>
          <cell r="AP4263">
            <v>1038788</v>
          </cell>
        </row>
        <row r="4264">
          <cell r="AE4264" t="str">
            <v>08 - VIGENCIA ANTERIOR</v>
          </cell>
          <cell r="AP4264">
            <v>944670</v>
          </cell>
        </row>
        <row r="4265">
          <cell r="AE4265" t="str">
            <v>08 - VIGENCIA ANTERIOR</v>
          </cell>
          <cell r="AP4265">
            <v>1243658</v>
          </cell>
        </row>
        <row r="4266">
          <cell r="AE4266" t="str">
            <v>01 - RENOVADA</v>
          </cell>
          <cell r="AP4266">
            <v>1509985</v>
          </cell>
        </row>
        <row r="4267">
          <cell r="AE4267" t="str">
            <v>04 - NO RENOVADA</v>
          </cell>
          <cell r="AP4267">
            <v>7503309</v>
          </cell>
        </row>
        <row r="4268">
          <cell r="AE4268" t="str">
            <v>04 - NO RENOVADA</v>
          </cell>
          <cell r="AP4268">
            <v>7503321</v>
          </cell>
        </row>
        <row r="4269">
          <cell r="AE4269" t="str">
            <v>04 - NO RENOVADA</v>
          </cell>
          <cell r="AP4269">
            <v>8136090</v>
          </cell>
        </row>
        <row r="4270">
          <cell r="AE4270" t="str">
            <v>08 - VIGENCIA ANTERIOR</v>
          </cell>
          <cell r="AP4270">
            <v>8136093</v>
          </cell>
        </row>
        <row r="4271">
          <cell r="AE4271" t="str">
            <v>01 - RENOVADA</v>
          </cell>
          <cell r="AP4271">
            <v>9669789</v>
          </cell>
        </row>
        <row r="4272">
          <cell r="AE4272" t="str">
            <v>05 - ANULADA EN VIGENCIA</v>
          </cell>
          <cell r="AP4272">
            <v>8076049</v>
          </cell>
        </row>
        <row r="4273">
          <cell r="AE4273" t="str">
            <v>05 - ANULADA EN VIGENCIA</v>
          </cell>
          <cell r="AP4273">
            <v>70177781</v>
          </cell>
        </row>
        <row r="4274">
          <cell r="AE4274" t="str">
            <v>01 - RENOVADA</v>
          </cell>
          <cell r="AP4274" t="str">
            <v>E0024044</v>
          </cell>
        </row>
        <row r="4275">
          <cell r="AE4275" t="str">
            <v>03 - PENDIENTE</v>
          </cell>
          <cell r="AP4275">
            <v>120757</v>
          </cell>
        </row>
        <row r="4276">
          <cell r="AE4276" t="str">
            <v>03 - PENDIENTE</v>
          </cell>
          <cell r="AP4276">
            <v>1130985</v>
          </cell>
        </row>
        <row r="4277">
          <cell r="AE4277" t="str">
            <v>03 - PENDIENTE</v>
          </cell>
          <cell r="AP4277">
            <v>620102989</v>
          </cell>
        </row>
        <row r="4278">
          <cell r="AE4278" t="str">
            <v>01 - RENOVADA</v>
          </cell>
          <cell r="AP4278">
            <v>45080</v>
          </cell>
        </row>
        <row r="4279">
          <cell r="AE4279" t="str">
            <v>01 - RENOVADA</v>
          </cell>
          <cell r="AP4279">
            <v>244127</v>
          </cell>
        </row>
        <row r="4280">
          <cell r="AE4280" t="str">
            <v>01 - RENOVADA</v>
          </cell>
          <cell r="AP4280">
            <v>16767488</v>
          </cell>
        </row>
        <row r="4281">
          <cell r="AE4281" t="str">
            <v>01 - RENOVADA</v>
          </cell>
          <cell r="AP4281">
            <v>235958</v>
          </cell>
        </row>
        <row r="4282">
          <cell r="AE4282" t="str">
            <v>01 - RENOVADA</v>
          </cell>
          <cell r="AP4282" t="str">
            <v>E0031545</v>
          </cell>
        </row>
        <row r="4283">
          <cell r="AE4283" t="str">
            <v>01 - RENOVADA</v>
          </cell>
          <cell r="AP4283">
            <v>39823</v>
          </cell>
        </row>
        <row r="4284">
          <cell r="AE4284" t="str">
            <v>08 - VIGENCIA ANTERIOR</v>
          </cell>
          <cell r="AP4284" t="str">
            <v>E0027302</v>
          </cell>
        </row>
        <row r="4285">
          <cell r="AE4285" t="str">
            <v>02 - EN PROCESO</v>
          </cell>
          <cell r="AP4285">
            <v>47871</v>
          </cell>
        </row>
        <row r="4286">
          <cell r="AE4286" t="str">
            <v>01 - RENOVADA</v>
          </cell>
          <cell r="AP4286">
            <v>2002261070</v>
          </cell>
        </row>
        <row r="4287">
          <cell r="AE4287" t="str">
            <v>01 - RENOVADA</v>
          </cell>
          <cell r="AP4287">
            <v>220023880</v>
          </cell>
        </row>
        <row r="4288">
          <cell r="AE4288" t="str">
            <v>04 - NO RENOVADA</v>
          </cell>
          <cell r="AP4288">
            <v>45280</v>
          </cell>
        </row>
        <row r="4289">
          <cell r="AE4289" t="str">
            <v>08 - VIGENCIA ANTERIOR</v>
          </cell>
          <cell r="AP4289">
            <v>19780</v>
          </cell>
        </row>
        <row r="4290">
          <cell r="AE4290" t="str">
            <v>01 - RENOVADA</v>
          </cell>
          <cell r="AP4290">
            <v>16776049</v>
          </cell>
        </row>
        <row r="4291">
          <cell r="AE4291" t="str">
            <v>04 - NO RENOVADA</v>
          </cell>
          <cell r="AP4291">
            <v>6101659900178</v>
          </cell>
        </row>
        <row r="4292">
          <cell r="AE4292" t="str">
            <v>03 - PENDIENTE</v>
          </cell>
          <cell r="AP4292">
            <v>94061</v>
          </cell>
        </row>
        <row r="4293">
          <cell r="AE4293" t="str">
            <v>01 - RENOVADA</v>
          </cell>
          <cell r="AP4293">
            <v>7204452</v>
          </cell>
        </row>
        <row r="4294">
          <cell r="AE4294" t="str">
            <v>03 - PENDIENTE</v>
          </cell>
          <cell r="AP4294">
            <v>1129428</v>
          </cell>
        </row>
        <row r="4295">
          <cell r="AE4295" t="str">
            <v>03 - PENDIENTE</v>
          </cell>
          <cell r="AP4295">
            <v>620101093</v>
          </cell>
        </row>
        <row r="4296">
          <cell r="AE4296" t="str">
            <v>04 - NO RENOVADA</v>
          </cell>
          <cell r="AP4296">
            <v>220020046</v>
          </cell>
        </row>
        <row r="4297">
          <cell r="AE4297" t="str">
            <v>05 - ANULADA EN VIGENCIA</v>
          </cell>
          <cell r="AP4297">
            <v>220023195</v>
          </cell>
        </row>
        <row r="4298">
          <cell r="AE4298" t="str">
            <v>04 - NO RENOVADA</v>
          </cell>
          <cell r="AP4298">
            <v>19229546</v>
          </cell>
        </row>
        <row r="4299">
          <cell r="AE4299" t="str">
            <v>04 - NO RENOVADA</v>
          </cell>
          <cell r="AP4299">
            <v>220020047</v>
          </cell>
        </row>
        <row r="4300">
          <cell r="AE4300" t="str">
            <v>04 - NO RENOVADA</v>
          </cell>
          <cell r="AP4300">
            <v>220024892</v>
          </cell>
        </row>
        <row r="4301">
          <cell r="AE4301" t="str">
            <v>04 - NO RENOVADA</v>
          </cell>
          <cell r="AP4301">
            <v>220020048</v>
          </cell>
        </row>
        <row r="4302">
          <cell r="AE4302" t="str">
            <v>04 - NO RENOVADA</v>
          </cell>
          <cell r="AP4302">
            <v>220020050</v>
          </cell>
        </row>
        <row r="4303">
          <cell r="AE4303" t="str">
            <v>02 - EN PROCESO</v>
          </cell>
          <cell r="AP4303">
            <v>19593192</v>
          </cell>
        </row>
        <row r="4304">
          <cell r="AE4304" t="str">
            <v>02 - EN PROCESO</v>
          </cell>
          <cell r="AP4304">
            <v>19593033</v>
          </cell>
        </row>
        <row r="4305">
          <cell r="AE4305" t="str">
            <v>05 - ANULADA EN VIGENCIA</v>
          </cell>
          <cell r="AP4305">
            <v>7021110101627</v>
          </cell>
        </row>
        <row r="4306">
          <cell r="AE4306" t="str">
            <v>05 - ANULADA EN VIGENCIA</v>
          </cell>
          <cell r="AP4306">
            <v>7011110100663</v>
          </cell>
        </row>
        <row r="4307">
          <cell r="AE4307" t="str">
            <v>05 - ANULADA EN VIGENCIA</v>
          </cell>
          <cell r="AP4307">
            <v>525527</v>
          </cell>
        </row>
        <row r="4308">
          <cell r="AE4308" t="str">
            <v>05 - ANULADA EN VIGENCIA</v>
          </cell>
          <cell r="AP4308">
            <v>3011700002260</v>
          </cell>
        </row>
        <row r="4309">
          <cell r="AE4309" t="str">
            <v>05 - ANULADA EN VIGENCIA</v>
          </cell>
          <cell r="AP4309">
            <v>1014809</v>
          </cell>
        </row>
        <row r="4310">
          <cell r="AE4310" t="str">
            <v>05 - ANULADA EN VIGENCIA</v>
          </cell>
          <cell r="AP4310">
            <v>1483240</v>
          </cell>
        </row>
        <row r="4311">
          <cell r="AE4311" t="str">
            <v>05 - ANULADA EN VIGENCIA</v>
          </cell>
          <cell r="AP4311">
            <v>1483256</v>
          </cell>
        </row>
        <row r="4312">
          <cell r="AE4312" t="str">
            <v>04 - NO RENOVADA</v>
          </cell>
          <cell r="AP4312">
            <v>2007280822</v>
          </cell>
        </row>
        <row r="4313">
          <cell r="AE4313" t="str">
            <v>05 - ANULADA EN VIGENCIA</v>
          </cell>
          <cell r="AP4313">
            <v>2001452893</v>
          </cell>
        </row>
        <row r="4314">
          <cell r="AE4314" t="str">
            <v>05 - ANULADA EN VIGENCIA</v>
          </cell>
          <cell r="AP4314">
            <v>3011700070849</v>
          </cell>
        </row>
        <row r="4315">
          <cell r="AE4315" t="str">
            <v>04 - NO RENOVADA</v>
          </cell>
          <cell r="AP4315">
            <v>7698293</v>
          </cell>
        </row>
        <row r="4316">
          <cell r="AE4316" t="str">
            <v>04 - NO RENOVADA</v>
          </cell>
          <cell r="AP4316">
            <v>2402510106491</v>
          </cell>
        </row>
        <row r="4317">
          <cell r="AE4317" t="str">
            <v>05 - ANULADA EN VIGENCIA</v>
          </cell>
          <cell r="AP4317">
            <v>30596</v>
          </cell>
        </row>
        <row r="4318">
          <cell r="AE4318" t="str">
            <v>05 - ANULADA EN VIGENCIA</v>
          </cell>
          <cell r="AP4318">
            <v>62071047</v>
          </cell>
        </row>
        <row r="4319">
          <cell r="AE4319" t="str">
            <v>05 - ANULADA EN VIGENCIA</v>
          </cell>
          <cell r="AP4319">
            <v>97807</v>
          </cell>
        </row>
        <row r="4320">
          <cell r="AE4320" t="str">
            <v>05 - ANULADA EN VIGENCIA</v>
          </cell>
          <cell r="AP4320">
            <v>7199517</v>
          </cell>
        </row>
        <row r="4321">
          <cell r="AE4321" t="str">
            <v>05 - ANULADA EN VIGENCIA</v>
          </cell>
          <cell r="AP4321">
            <v>16466988</v>
          </cell>
        </row>
        <row r="4322">
          <cell r="AE4322" t="str">
            <v>05 - ANULADA EN VIGENCIA</v>
          </cell>
          <cell r="AP4322">
            <v>3389</v>
          </cell>
        </row>
        <row r="4323">
          <cell r="AE4323" t="str">
            <v>05 - ANULADA EN VIGENCIA</v>
          </cell>
          <cell r="AP4323">
            <v>30045596</v>
          </cell>
        </row>
        <row r="4324">
          <cell r="AE4324" t="str">
            <v>05 - ANULADA EN VIGENCIA</v>
          </cell>
          <cell r="AP4324">
            <v>30045625</v>
          </cell>
        </row>
        <row r="4325">
          <cell r="AE4325" t="str">
            <v>05 - ANULADA EN VIGENCIA</v>
          </cell>
          <cell r="AP4325">
            <v>389</v>
          </cell>
        </row>
        <row r="4326">
          <cell r="AE4326" t="str">
            <v>05 - ANULADA EN VIGENCIA</v>
          </cell>
          <cell r="AP4326">
            <v>389</v>
          </cell>
        </row>
        <row r="4327">
          <cell r="AE4327" t="str">
            <v>05 - ANULADA EN VIGENCIA</v>
          </cell>
          <cell r="AP4327" t="str">
            <v>E0002259</v>
          </cell>
        </row>
        <row r="4328">
          <cell r="AE4328" t="str">
            <v>05 - ANULADA EN VIGENCIA</v>
          </cell>
          <cell r="AP4328">
            <v>1</v>
          </cell>
        </row>
        <row r="4329">
          <cell r="AE4329" t="str">
            <v>05 - ANULADA EN VIGENCIA</v>
          </cell>
          <cell r="AP4329">
            <v>530561</v>
          </cell>
        </row>
        <row r="4330">
          <cell r="AE4330" t="str">
            <v>01 - RENOVADA</v>
          </cell>
          <cell r="AP4330">
            <v>2009823948</v>
          </cell>
        </row>
        <row r="4331">
          <cell r="AE4331" t="str">
            <v>07 - DEVUELTO A AON</v>
          </cell>
          <cell r="AP4331">
            <v>2009535120</v>
          </cell>
        </row>
        <row r="4332">
          <cell r="AE4332" t="str">
            <v>07 - DEVUELTO A AON</v>
          </cell>
          <cell r="AP4332">
            <v>14051958</v>
          </cell>
        </row>
        <row r="4333">
          <cell r="AE4333" t="str">
            <v>04 - NO RENOVADA</v>
          </cell>
          <cell r="AP4333">
            <v>7011459900572</v>
          </cell>
        </row>
        <row r="4334">
          <cell r="AE4334" t="str">
            <v>04 - NO RENOVADA</v>
          </cell>
          <cell r="AP4334">
            <v>7021459900272</v>
          </cell>
        </row>
        <row r="4335">
          <cell r="AE4335" t="str">
            <v>05 - ANULADA EN VIGENCIA</v>
          </cell>
          <cell r="AP4335">
            <v>1000254726</v>
          </cell>
        </row>
        <row r="4336">
          <cell r="AE4336" t="str">
            <v>05 - ANULADA EN VIGENCIA</v>
          </cell>
          <cell r="AP4336">
            <v>820256</v>
          </cell>
        </row>
        <row r="4337">
          <cell r="AE4337" t="str">
            <v>05 - ANULADA EN VIGENCIA</v>
          </cell>
          <cell r="AP4337">
            <v>1000193156</v>
          </cell>
        </row>
        <row r="4338">
          <cell r="AE4338" t="str">
            <v>05 - ANULADA EN VIGENCIA</v>
          </cell>
          <cell r="AP4338">
            <v>663492</v>
          </cell>
        </row>
        <row r="4339">
          <cell r="AE4339" t="str">
            <v>05 - ANULADA EN VIGENCIA</v>
          </cell>
          <cell r="AP4339">
            <v>1000264841</v>
          </cell>
        </row>
        <row r="4340">
          <cell r="AE4340" t="str">
            <v>05 - ANULADA EN VIGENCIA</v>
          </cell>
          <cell r="AP4340">
            <v>845566</v>
          </cell>
        </row>
        <row r="4341">
          <cell r="AE4341" t="str">
            <v>03 - PENDIENTE</v>
          </cell>
          <cell r="AP4341">
            <v>896108</v>
          </cell>
        </row>
        <row r="4342">
          <cell r="AE4342" t="str">
            <v>03 - PENDIENTE</v>
          </cell>
          <cell r="AP4342">
            <v>1000284654</v>
          </cell>
        </row>
        <row r="4343">
          <cell r="AE4343" t="str">
            <v>04 - NO RENOVADA</v>
          </cell>
          <cell r="AP4343">
            <v>1000247633</v>
          </cell>
        </row>
        <row r="4344">
          <cell r="AE4344" t="str">
            <v>04 - NO RENOVADA</v>
          </cell>
          <cell r="AP4344">
            <v>802971</v>
          </cell>
        </row>
        <row r="4345">
          <cell r="AE4345" t="str">
            <v>05 - ANULADA EN VIGENCIA</v>
          </cell>
          <cell r="AP4345">
            <v>644711</v>
          </cell>
        </row>
        <row r="4346">
          <cell r="AE4346" t="str">
            <v>05 - ANULADA EN VIGENCIA</v>
          </cell>
          <cell r="AP4346">
            <v>1000185754</v>
          </cell>
        </row>
        <row r="4347">
          <cell r="AE4347" t="str">
            <v>01 - RENOVADA</v>
          </cell>
          <cell r="AP4347">
            <v>1300376784</v>
          </cell>
        </row>
        <row r="4348">
          <cell r="AE4348" t="str">
            <v>05 - ANULADA EN VIGENCIA</v>
          </cell>
          <cell r="AP4348">
            <v>2005355893</v>
          </cell>
        </row>
        <row r="4349">
          <cell r="AE4349" t="str">
            <v>04 - NO RENOVADA</v>
          </cell>
          <cell r="AP4349">
            <v>1300370838</v>
          </cell>
        </row>
        <row r="4350">
          <cell r="AE4350" t="str">
            <v>04 - NO RENOVADA</v>
          </cell>
          <cell r="AP4350">
            <v>45279</v>
          </cell>
        </row>
        <row r="4351">
          <cell r="AE4351" t="str">
            <v>05 - ANULADA EN VIGENCIA</v>
          </cell>
          <cell r="AP4351">
            <v>41556</v>
          </cell>
        </row>
        <row r="4352">
          <cell r="AE4352" t="str">
            <v>03 - PENDIENTE</v>
          </cell>
          <cell r="AP4352" t="str">
            <v>E0030659</v>
          </cell>
        </row>
        <row r="4353">
          <cell r="AE4353" t="str">
            <v>05 - ANULADA EN VIGENCIA</v>
          </cell>
          <cell r="AP4353">
            <v>2006899721</v>
          </cell>
        </row>
        <row r="4354">
          <cell r="AE4354" t="str">
            <v>05 - ANULADA EN VIGENCIA</v>
          </cell>
          <cell r="AP4354">
            <v>16462588</v>
          </cell>
        </row>
        <row r="4355">
          <cell r="AE4355" t="str">
            <v>05 - ANULADA EN VIGENCIA</v>
          </cell>
          <cell r="AP4355">
            <v>974622</v>
          </cell>
        </row>
        <row r="4356">
          <cell r="AE4356" t="str">
            <v>04 - NO RENOVADA</v>
          </cell>
          <cell r="AP4356">
            <v>19794741</v>
          </cell>
        </row>
        <row r="4357">
          <cell r="AE4357" t="str">
            <v>04 - NO RENOVADA</v>
          </cell>
          <cell r="AP4357">
            <v>96664089</v>
          </cell>
        </row>
        <row r="4358">
          <cell r="AE4358" t="str">
            <v>01 - RENOVADA</v>
          </cell>
          <cell r="AP4358">
            <v>7322689</v>
          </cell>
        </row>
        <row r="4359">
          <cell r="AE4359" t="str">
            <v>03 - PENDIENTE</v>
          </cell>
          <cell r="AP4359">
            <v>1300361785</v>
          </cell>
        </row>
        <row r="4360">
          <cell r="AE4360" t="str">
            <v>04 - NO RENOVADA</v>
          </cell>
          <cell r="AP4360">
            <v>8669</v>
          </cell>
        </row>
        <row r="4361">
          <cell r="AE4361" t="str">
            <v>04 - NO RENOVADA</v>
          </cell>
          <cell r="AP4361">
            <v>10688</v>
          </cell>
        </row>
        <row r="4362">
          <cell r="AE4362" t="str">
            <v>08 - VIGENCIA ANTERIOR</v>
          </cell>
          <cell r="AP4362">
            <v>22225</v>
          </cell>
        </row>
        <row r="4363">
          <cell r="AE4363" t="str">
            <v>04 - NO RENOVADA</v>
          </cell>
          <cell r="AP4363">
            <v>221551</v>
          </cell>
        </row>
        <row r="4364">
          <cell r="AE4364" t="str">
            <v>01 - RENOVADA</v>
          </cell>
          <cell r="AP4364">
            <v>7688196</v>
          </cell>
        </row>
        <row r="4365">
          <cell r="AE4365" t="str">
            <v>01 - RENOVADA</v>
          </cell>
          <cell r="AP4365">
            <v>15884986</v>
          </cell>
        </row>
        <row r="4366">
          <cell r="AE4366" t="str">
            <v>04 - NO RENOVADA</v>
          </cell>
          <cell r="AP4366">
            <v>111971</v>
          </cell>
        </row>
        <row r="4367">
          <cell r="AE4367" t="str">
            <v>04 - NO RENOVADA</v>
          </cell>
          <cell r="AP4367">
            <v>62085256</v>
          </cell>
        </row>
        <row r="4368">
          <cell r="AE4368" t="str">
            <v>01 - RENOVADA</v>
          </cell>
          <cell r="AP4368">
            <v>1300184720</v>
          </cell>
        </row>
        <row r="4369">
          <cell r="AE4369" t="str">
            <v>01 - RENOVADA</v>
          </cell>
          <cell r="AP4369">
            <v>1300628996</v>
          </cell>
        </row>
        <row r="4370">
          <cell r="AE4370" t="str">
            <v>04 - NO RENOVADA</v>
          </cell>
          <cell r="AP4370" t="str">
            <v>P0278581</v>
          </cell>
        </row>
        <row r="4371">
          <cell r="AE4371" t="str">
            <v>04 - NO RENOVADA</v>
          </cell>
          <cell r="AP4371" t="str">
            <v>S0336001</v>
          </cell>
        </row>
        <row r="4372">
          <cell r="AE4372" t="str">
            <v>04 - NO RENOVADA</v>
          </cell>
          <cell r="AP4372" t="str">
            <v>P0307251</v>
          </cell>
        </row>
        <row r="4373">
          <cell r="AE4373" t="str">
            <v>04 - NO RENOVADA</v>
          </cell>
          <cell r="AP4373" t="str">
            <v>S0382816</v>
          </cell>
        </row>
        <row r="4374">
          <cell r="AE4374" t="str">
            <v>01 - RENOVADA</v>
          </cell>
          <cell r="AP4374">
            <v>2752062</v>
          </cell>
        </row>
        <row r="4375">
          <cell r="AE4375" t="str">
            <v>04 - NO RENOVADA</v>
          </cell>
          <cell r="AP4375">
            <v>69440889</v>
          </cell>
        </row>
        <row r="4376">
          <cell r="AE4376" t="str">
            <v>01 - RENOVADA</v>
          </cell>
          <cell r="AP4376" t="str">
            <v>E0003294</v>
          </cell>
        </row>
        <row r="4377">
          <cell r="AE4377" t="str">
            <v>01 - RENOVADA</v>
          </cell>
          <cell r="AP4377">
            <v>48909</v>
          </cell>
        </row>
        <row r="4378">
          <cell r="AE4378" t="str">
            <v>05 - ANULADA EN VIGENCIA</v>
          </cell>
          <cell r="AP4378">
            <v>70233391</v>
          </cell>
        </row>
        <row r="4379">
          <cell r="AE4379" t="str">
            <v>04 - NO RENOVADA</v>
          </cell>
          <cell r="AP4379">
            <v>2402510104386</v>
          </cell>
        </row>
        <row r="4380">
          <cell r="AE4380" t="str">
            <v>03 - PENDIENTE</v>
          </cell>
          <cell r="AP4380">
            <v>3012500030715</v>
          </cell>
        </row>
        <row r="4381">
          <cell r="AE4381" t="str">
            <v>05 - ANULADA EN VIGENCIA</v>
          </cell>
          <cell r="AP4381">
            <v>46872</v>
          </cell>
        </row>
        <row r="4382">
          <cell r="AE4382" t="str">
            <v>02 - EN PROCESO</v>
          </cell>
          <cell r="AP4382">
            <v>47846</v>
          </cell>
        </row>
        <row r="4383">
          <cell r="AE4383" t="str">
            <v>05 - ANULADA EN VIGENCIA</v>
          </cell>
          <cell r="AP4383">
            <v>70191268</v>
          </cell>
        </row>
        <row r="4384">
          <cell r="AE4384" t="str">
            <v>01 - RENOVADA</v>
          </cell>
          <cell r="AP4384">
            <v>2009495393</v>
          </cell>
        </row>
        <row r="4385">
          <cell r="AE4385" t="str">
            <v>04 - NO RENOVADA</v>
          </cell>
          <cell r="AP4385">
            <v>220026904</v>
          </cell>
        </row>
        <row r="4386">
          <cell r="AE4386" t="str">
            <v>04 - NO RENOVADA</v>
          </cell>
          <cell r="AP4386">
            <v>1279348</v>
          </cell>
        </row>
        <row r="4387">
          <cell r="AE4387" t="str">
            <v>05 - ANULADA EN VIGENCIA</v>
          </cell>
          <cell r="AP4387">
            <v>390296</v>
          </cell>
        </row>
        <row r="4388">
          <cell r="AE4388" t="str">
            <v>04 - NO RENOVADA</v>
          </cell>
          <cell r="AP4388">
            <v>33028</v>
          </cell>
        </row>
        <row r="4389">
          <cell r="AE4389" t="str">
            <v>04 - NO RENOVADA</v>
          </cell>
          <cell r="AP4389">
            <v>17105538</v>
          </cell>
        </row>
        <row r="4390">
          <cell r="AE4390" t="str">
            <v>04 - NO RENOVADA</v>
          </cell>
          <cell r="AP4390">
            <v>16846747</v>
          </cell>
        </row>
        <row r="4391">
          <cell r="AE4391" t="str">
            <v>04 - NO RENOVADA</v>
          </cell>
          <cell r="AP4391">
            <v>16853791</v>
          </cell>
        </row>
        <row r="4392">
          <cell r="AE4392" t="str">
            <v>04 - NO RENOVADA</v>
          </cell>
          <cell r="AP4392">
            <v>16713959</v>
          </cell>
        </row>
        <row r="4393">
          <cell r="AE4393" t="str">
            <v>04 - NO RENOVADA</v>
          </cell>
          <cell r="AP4393">
            <v>16713965</v>
          </cell>
        </row>
        <row r="4394">
          <cell r="AE4394" t="str">
            <v>04 - NO RENOVADA</v>
          </cell>
          <cell r="AP4394">
            <v>16716282</v>
          </cell>
        </row>
        <row r="4395">
          <cell r="AE4395" t="str">
            <v>04 - NO RENOVADA</v>
          </cell>
          <cell r="AP4395">
            <v>16718053</v>
          </cell>
        </row>
        <row r="4396">
          <cell r="AE4396" t="str">
            <v>04 - NO RENOVADA</v>
          </cell>
          <cell r="AP4396">
            <v>16719531</v>
          </cell>
        </row>
        <row r="4397">
          <cell r="AE4397" t="str">
            <v>04 - NO RENOVADA</v>
          </cell>
          <cell r="AP4397">
            <v>16720433</v>
          </cell>
        </row>
        <row r="4398">
          <cell r="AE4398" t="str">
            <v>04 - NO RENOVADA</v>
          </cell>
          <cell r="AP4398">
            <v>16858118</v>
          </cell>
        </row>
        <row r="4399">
          <cell r="AE4399" t="str">
            <v>04 - NO RENOVADA</v>
          </cell>
          <cell r="AP4399">
            <v>16858123</v>
          </cell>
        </row>
        <row r="4400">
          <cell r="AE4400" t="str">
            <v>04 - NO RENOVADA</v>
          </cell>
          <cell r="AP4400">
            <v>16859788</v>
          </cell>
        </row>
        <row r="4401">
          <cell r="AE4401" t="str">
            <v>04 - NO RENOVADA</v>
          </cell>
          <cell r="AP4401">
            <v>16862040</v>
          </cell>
        </row>
        <row r="4402">
          <cell r="AE4402" t="str">
            <v>04 - NO RENOVADA</v>
          </cell>
          <cell r="AP4402">
            <v>16862066</v>
          </cell>
        </row>
        <row r="4403">
          <cell r="AE4403" t="str">
            <v>04 - NO RENOVADA</v>
          </cell>
          <cell r="AP4403">
            <v>16862068</v>
          </cell>
        </row>
        <row r="4404">
          <cell r="AE4404" t="str">
            <v>04 - NO RENOVADA</v>
          </cell>
          <cell r="AP4404">
            <v>16865482</v>
          </cell>
        </row>
        <row r="4405">
          <cell r="AE4405" t="str">
            <v>04 - NO RENOVADA</v>
          </cell>
          <cell r="AP4405">
            <v>16865480</v>
          </cell>
        </row>
        <row r="4406">
          <cell r="AE4406" t="str">
            <v>04 - NO RENOVADA</v>
          </cell>
          <cell r="AP4406">
            <v>16867883</v>
          </cell>
        </row>
        <row r="4407">
          <cell r="AE4407" t="str">
            <v>04 - NO RENOVADA</v>
          </cell>
          <cell r="AP4407">
            <v>16869391</v>
          </cell>
        </row>
        <row r="4408">
          <cell r="AE4408" t="str">
            <v>04 - NO RENOVADA</v>
          </cell>
          <cell r="AP4408">
            <v>16869408</v>
          </cell>
        </row>
        <row r="4409">
          <cell r="AE4409" t="str">
            <v>04 - NO RENOVADA</v>
          </cell>
          <cell r="AP4409">
            <v>16869393</v>
          </cell>
        </row>
        <row r="4410">
          <cell r="AE4410" t="str">
            <v>04 - NO RENOVADA</v>
          </cell>
          <cell r="AP4410">
            <v>16870113</v>
          </cell>
        </row>
        <row r="4411">
          <cell r="AE4411" t="str">
            <v>04 - NO RENOVADA</v>
          </cell>
          <cell r="AP4411">
            <v>16872157</v>
          </cell>
        </row>
        <row r="4412">
          <cell r="AE4412" t="str">
            <v>04 - NO RENOVADA</v>
          </cell>
          <cell r="AP4412">
            <v>16723434</v>
          </cell>
        </row>
        <row r="4413">
          <cell r="AE4413" t="str">
            <v>04 - NO RENOVADA</v>
          </cell>
          <cell r="AP4413">
            <v>16730562</v>
          </cell>
        </row>
        <row r="4414">
          <cell r="AE4414" t="str">
            <v>04 - NO RENOVADA</v>
          </cell>
          <cell r="AP4414">
            <v>16735187</v>
          </cell>
        </row>
        <row r="4415">
          <cell r="AE4415" t="str">
            <v>04 - NO RENOVADA</v>
          </cell>
          <cell r="AP4415">
            <v>16872160</v>
          </cell>
        </row>
        <row r="4416">
          <cell r="AE4416" t="str">
            <v>04 - NO RENOVADA</v>
          </cell>
          <cell r="AP4416">
            <v>16877402</v>
          </cell>
        </row>
        <row r="4417">
          <cell r="AE4417" t="str">
            <v>04 - NO RENOVADA</v>
          </cell>
          <cell r="AP4417">
            <v>16880799</v>
          </cell>
        </row>
        <row r="4418">
          <cell r="AE4418" t="str">
            <v>04 - NO RENOVADA</v>
          </cell>
          <cell r="AP4418">
            <v>16880816</v>
          </cell>
        </row>
        <row r="4419">
          <cell r="AE4419" t="str">
            <v>04 - NO RENOVADA</v>
          </cell>
          <cell r="AP4419">
            <v>16880309</v>
          </cell>
        </row>
        <row r="4420">
          <cell r="AE4420" t="str">
            <v>04 - NO RENOVADA</v>
          </cell>
          <cell r="AP4420">
            <v>16880903</v>
          </cell>
        </row>
        <row r="4421">
          <cell r="AE4421" t="str">
            <v>04 - NO RENOVADA</v>
          </cell>
          <cell r="AP4421">
            <v>16886615</v>
          </cell>
        </row>
        <row r="4422">
          <cell r="AE4422" t="str">
            <v>04 - NO RENOVADA</v>
          </cell>
          <cell r="AP4422">
            <v>16886621</v>
          </cell>
        </row>
        <row r="4423">
          <cell r="AE4423" t="str">
            <v>04 - NO RENOVADA</v>
          </cell>
          <cell r="AP4423">
            <v>16886626</v>
          </cell>
        </row>
        <row r="4424">
          <cell r="AE4424" t="str">
            <v>04 - NO RENOVADA</v>
          </cell>
          <cell r="AP4424">
            <v>16739517</v>
          </cell>
        </row>
        <row r="4425">
          <cell r="AE4425" t="str">
            <v>04 - NO RENOVADA</v>
          </cell>
          <cell r="AP4425">
            <v>16742737</v>
          </cell>
        </row>
        <row r="4426">
          <cell r="AE4426" t="str">
            <v>04 - NO RENOVADA</v>
          </cell>
          <cell r="AP4426">
            <v>16744597</v>
          </cell>
        </row>
        <row r="4427">
          <cell r="AE4427" t="str">
            <v>04 - NO RENOVADA</v>
          </cell>
          <cell r="AP4427">
            <v>16898829</v>
          </cell>
        </row>
        <row r="4428">
          <cell r="AE4428" t="str">
            <v>04 - NO RENOVADA</v>
          </cell>
          <cell r="AP4428">
            <v>16898932</v>
          </cell>
        </row>
        <row r="4429">
          <cell r="AE4429" t="str">
            <v>04 - NO RENOVADA</v>
          </cell>
          <cell r="AP4429">
            <v>16909792</v>
          </cell>
        </row>
        <row r="4430">
          <cell r="AE4430" t="str">
            <v>04 - NO RENOVADA</v>
          </cell>
          <cell r="AP4430">
            <v>16748388</v>
          </cell>
        </row>
        <row r="4431">
          <cell r="AE4431" t="str">
            <v>04 - NO RENOVADA</v>
          </cell>
          <cell r="AP4431">
            <v>16932157</v>
          </cell>
        </row>
        <row r="4432">
          <cell r="AE4432" t="str">
            <v>04 - NO RENOVADA</v>
          </cell>
          <cell r="AP4432">
            <v>16933197</v>
          </cell>
        </row>
        <row r="4433">
          <cell r="AE4433" t="str">
            <v>04 - NO RENOVADA</v>
          </cell>
          <cell r="AP4433">
            <v>16933200</v>
          </cell>
        </row>
        <row r="4434">
          <cell r="AE4434" t="str">
            <v>04 - NO RENOVADA</v>
          </cell>
          <cell r="AP4434">
            <v>16760593</v>
          </cell>
        </row>
        <row r="4435">
          <cell r="AE4435" t="str">
            <v>04 - NO RENOVADA</v>
          </cell>
          <cell r="AP4435">
            <v>16665297</v>
          </cell>
        </row>
        <row r="4436">
          <cell r="AE4436" t="str">
            <v>04 - NO RENOVADA</v>
          </cell>
          <cell r="AP4436">
            <v>16668275</v>
          </cell>
        </row>
        <row r="4437">
          <cell r="AE4437" t="str">
            <v>04 - NO RENOVADA</v>
          </cell>
          <cell r="AP4437">
            <v>2004047286</v>
          </cell>
        </row>
        <row r="4438">
          <cell r="AE4438" t="str">
            <v>04 - NO RENOVADA</v>
          </cell>
          <cell r="AP4438">
            <v>2005137037</v>
          </cell>
        </row>
        <row r="4439">
          <cell r="AE4439" t="str">
            <v>04 - NO RENOVADA</v>
          </cell>
          <cell r="AP4439">
            <v>2006584452</v>
          </cell>
        </row>
        <row r="4440">
          <cell r="AE4440" t="str">
            <v>05 - ANULADA EN VIGENCIA</v>
          </cell>
          <cell r="AP4440">
            <v>1115126</v>
          </cell>
        </row>
        <row r="4441">
          <cell r="AE4441" t="str">
            <v>04 - NO RENOVADA</v>
          </cell>
          <cell r="AP4441">
            <v>73823</v>
          </cell>
        </row>
        <row r="4442">
          <cell r="AE4442" t="str">
            <v>04 - NO RENOVADA</v>
          </cell>
          <cell r="AP4442">
            <v>20338204</v>
          </cell>
        </row>
        <row r="4443">
          <cell r="AE4443" t="str">
            <v>04 - NO RENOVADA</v>
          </cell>
          <cell r="AP4443">
            <v>17384656</v>
          </cell>
        </row>
        <row r="4444">
          <cell r="AE4444" t="str">
            <v>04 - NO RENOVADA</v>
          </cell>
          <cell r="AP4444">
            <v>17401210</v>
          </cell>
        </row>
        <row r="4445">
          <cell r="AE4445" t="str">
            <v>01 - RENOVADA</v>
          </cell>
          <cell r="AP4445">
            <v>230153001</v>
          </cell>
        </row>
        <row r="4446">
          <cell r="AE4446" t="str">
            <v>01 - RENOVADA</v>
          </cell>
          <cell r="AP4446">
            <v>340071825</v>
          </cell>
        </row>
        <row r="4447">
          <cell r="AE4447" t="str">
            <v>01 - RENOVADA</v>
          </cell>
          <cell r="AP4447">
            <v>16811228</v>
          </cell>
        </row>
        <row r="4448">
          <cell r="AE4448" t="str">
            <v>04 - NO RENOVADA</v>
          </cell>
          <cell r="AP4448">
            <v>21405600</v>
          </cell>
        </row>
        <row r="4449">
          <cell r="AE4449" t="str">
            <v>05 - ANULADA EN VIGENCIA</v>
          </cell>
          <cell r="AP4449">
            <v>38955</v>
          </cell>
        </row>
        <row r="4450">
          <cell r="AE4450" t="str">
            <v>05 - ANULADA EN VIGENCIA</v>
          </cell>
          <cell r="AP4450">
            <v>262092</v>
          </cell>
        </row>
        <row r="4451">
          <cell r="AE4451" t="str">
            <v>05 - ANULADA EN VIGENCIA</v>
          </cell>
          <cell r="AP4451">
            <v>324</v>
          </cell>
        </row>
        <row r="4452">
          <cell r="AE4452" t="str">
            <v>05 - ANULADA EN VIGENCIA</v>
          </cell>
          <cell r="AP4452">
            <v>324</v>
          </cell>
        </row>
        <row r="4453">
          <cell r="AE4453" t="str">
            <v>05 - ANULADA EN VIGENCIA</v>
          </cell>
          <cell r="AP4453" t="str">
            <v>E0002829</v>
          </cell>
        </row>
        <row r="4454">
          <cell r="AE4454" t="str">
            <v>05 - ANULADA EN VIGENCIA</v>
          </cell>
          <cell r="AP4454" t="str">
            <v>P0146868</v>
          </cell>
        </row>
        <row r="4455">
          <cell r="AE4455" t="str">
            <v>05 - ANULADA EN VIGENCIA</v>
          </cell>
          <cell r="AP4455" t="str">
            <v>S0140327</v>
          </cell>
        </row>
        <row r="4456">
          <cell r="AE4456" t="str">
            <v>07 - DEVUELTO A AON</v>
          </cell>
          <cell r="AP4456">
            <v>16785611</v>
          </cell>
        </row>
        <row r="4457">
          <cell r="AE4457" t="str">
            <v>07 - DEVUELTO A AON</v>
          </cell>
          <cell r="AP4457">
            <v>2032259900104</v>
          </cell>
        </row>
        <row r="4458">
          <cell r="AE4458" t="str">
            <v>07 - DEVUELTO A AON</v>
          </cell>
          <cell r="AP4458">
            <v>2102110100004</v>
          </cell>
        </row>
        <row r="4459">
          <cell r="AE4459" t="str">
            <v>07 - DEVUELTO A AON</v>
          </cell>
          <cell r="AP4459">
            <v>540730</v>
          </cell>
        </row>
        <row r="4460">
          <cell r="AE4460" t="str">
            <v>03 - PENDIENTE</v>
          </cell>
          <cell r="AP4460">
            <v>94445894</v>
          </cell>
        </row>
        <row r="4461">
          <cell r="AE4461" t="str">
            <v>03 - PENDIENTE</v>
          </cell>
          <cell r="AP4461">
            <v>72868</v>
          </cell>
        </row>
        <row r="4462">
          <cell r="AE4462" t="str">
            <v>04 - NO RENOVADA</v>
          </cell>
          <cell r="AP4462">
            <v>109080</v>
          </cell>
        </row>
        <row r="4463">
          <cell r="AE4463" t="str">
            <v>05 - ANULADA EN VIGENCIA</v>
          </cell>
          <cell r="AP4463">
            <v>6754537</v>
          </cell>
        </row>
        <row r="4464">
          <cell r="AE4464" t="str">
            <v>05 - ANULADA EN VIGENCIA</v>
          </cell>
          <cell r="AP4464">
            <v>6754538</v>
          </cell>
        </row>
        <row r="4465">
          <cell r="AE4465" t="str">
            <v>05 - ANULADA EN VIGENCIA</v>
          </cell>
          <cell r="AP4465">
            <v>6754539</v>
          </cell>
        </row>
        <row r="4466">
          <cell r="AE4466" t="str">
            <v>05 - ANULADA EN VIGENCIA</v>
          </cell>
          <cell r="AP4466">
            <v>6754540</v>
          </cell>
        </row>
        <row r="4467">
          <cell r="AE4467" t="str">
            <v>05 - ANULADA EN VIGENCIA</v>
          </cell>
          <cell r="AP4467">
            <v>6754541</v>
          </cell>
        </row>
        <row r="4468">
          <cell r="AE4468" t="str">
            <v>05 - ANULADA EN VIGENCIA</v>
          </cell>
          <cell r="AP4468">
            <v>6754542</v>
          </cell>
        </row>
        <row r="4469">
          <cell r="AE4469" t="str">
            <v>05 - ANULADA EN VIGENCIA</v>
          </cell>
          <cell r="AP4469">
            <v>6754543</v>
          </cell>
        </row>
        <row r="4470">
          <cell r="AE4470" t="str">
            <v>05 - ANULADA EN VIGENCIA</v>
          </cell>
          <cell r="AP4470">
            <v>6754544</v>
          </cell>
        </row>
        <row r="4471">
          <cell r="AE4471" t="str">
            <v>05 - ANULADA EN VIGENCIA</v>
          </cell>
          <cell r="AP4471">
            <v>6754545</v>
          </cell>
        </row>
        <row r="4472">
          <cell r="AE4472" t="str">
            <v>05 - ANULADA EN VIGENCIA</v>
          </cell>
          <cell r="AP4472">
            <v>6754546</v>
          </cell>
        </row>
        <row r="4473">
          <cell r="AE4473" t="str">
            <v>05 - ANULADA EN VIGENCIA</v>
          </cell>
          <cell r="AP4473">
            <v>6754547</v>
          </cell>
        </row>
        <row r="4474">
          <cell r="AE4474" t="str">
            <v>05 - ANULADA EN VIGENCIA</v>
          </cell>
          <cell r="AP4474">
            <v>7811490</v>
          </cell>
        </row>
        <row r="4475">
          <cell r="AE4475" t="str">
            <v>05 - ANULADA EN VIGENCIA</v>
          </cell>
          <cell r="AP4475">
            <v>7811492</v>
          </cell>
        </row>
        <row r="4476">
          <cell r="AE4476" t="str">
            <v>05 - ANULADA EN VIGENCIA</v>
          </cell>
          <cell r="AP4476">
            <v>7811493</v>
          </cell>
        </row>
        <row r="4477">
          <cell r="AE4477" t="str">
            <v>05 - ANULADA EN VIGENCIA</v>
          </cell>
          <cell r="AP4477">
            <v>7811494</v>
          </cell>
        </row>
        <row r="4478">
          <cell r="AE4478" t="str">
            <v>05 - ANULADA EN VIGENCIA</v>
          </cell>
          <cell r="AP4478">
            <v>7811496</v>
          </cell>
        </row>
        <row r="4479">
          <cell r="AE4479" t="str">
            <v>05 - ANULADA EN VIGENCIA</v>
          </cell>
          <cell r="AP4479">
            <v>7811497</v>
          </cell>
        </row>
        <row r="4480">
          <cell r="AE4480" t="str">
            <v>05 - ANULADA EN VIGENCIA</v>
          </cell>
          <cell r="AP4480">
            <v>7811498</v>
          </cell>
        </row>
        <row r="4481">
          <cell r="AE4481" t="str">
            <v>05 - ANULADA EN VIGENCIA</v>
          </cell>
          <cell r="AP4481">
            <v>7811499</v>
          </cell>
        </row>
        <row r="4482">
          <cell r="AE4482" t="str">
            <v>05 - ANULADA EN VIGENCIA</v>
          </cell>
          <cell r="AP4482">
            <v>7811501</v>
          </cell>
        </row>
        <row r="4483">
          <cell r="AE4483" t="str">
            <v>05 - ANULADA EN VIGENCIA</v>
          </cell>
          <cell r="AP4483">
            <v>7811502</v>
          </cell>
        </row>
        <row r="4484">
          <cell r="AE4484" t="str">
            <v>05 - ANULADA EN VIGENCIA</v>
          </cell>
          <cell r="AP4484">
            <v>7811503</v>
          </cell>
        </row>
        <row r="4485">
          <cell r="AE4485" t="str">
            <v>05 - ANULADA EN VIGENCIA</v>
          </cell>
          <cell r="AP4485">
            <v>6316524</v>
          </cell>
        </row>
        <row r="4486">
          <cell r="AE4486" t="str">
            <v>05 - ANULADA EN VIGENCIA</v>
          </cell>
          <cell r="AP4486">
            <v>6316528</v>
          </cell>
        </row>
        <row r="4487">
          <cell r="AE4487" t="str">
            <v>05 - ANULADA EN VIGENCIA</v>
          </cell>
          <cell r="AP4487">
            <v>6868543</v>
          </cell>
        </row>
        <row r="4488">
          <cell r="AE4488" t="str">
            <v>05 - ANULADA EN VIGENCIA</v>
          </cell>
          <cell r="AP4488">
            <v>6868550</v>
          </cell>
        </row>
        <row r="4489">
          <cell r="AE4489" t="str">
            <v>05 - ANULADA EN VIGENCIA</v>
          </cell>
          <cell r="AP4489">
            <v>6868556</v>
          </cell>
        </row>
        <row r="4490">
          <cell r="AE4490" t="str">
            <v>05 - ANULADA EN VIGENCIA</v>
          </cell>
          <cell r="AP4490">
            <v>7007907</v>
          </cell>
        </row>
        <row r="4491">
          <cell r="AE4491" t="str">
            <v>05 - ANULADA EN VIGENCIA</v>
          </cell>
          <cell r="AP4491">
            <v>7862435</v>
          </cell>
        </row>
        <row r="4492">
          <cell r="AE4492" t="str">
            <v>05 - ANULADA EN VIGENCIA</v>
          </cell>
          <cell r="AP4492">
            <v>7876840</v>
          </cell>
        </row>
        <row r="4493">
          <cell r="AE4493" t="str">
            <v>05 - ANULADA EN VIGENCIA</v>
          </cell>
          <cell r="AP4493">
            <v>7876848</v>
          </cell>
        </row>
        <row r="4494">
          <cell r="AE4494" t="str">
            <v>05 - ANULADA EN VIGENCIA</v>
          </cell>
          <cell r="AP4494">
            <v>7876860</v>
          </cell>
        </row>
        <row r="4495">
          <cell r="AE4495" t="str">
            <v>05 - ANULADA EN VIGENCIA</v>
          </cell>
          <cell r="AP4495">
            <v>740739</v>
          </cell>
        </row>
        <row r="4496">
          <cell r="AE4496" t="str">
            <v>05 - ANULADA EN VIGENCIA</v>
          </cell>
          <cell r="AP4496">
            <v>7094064</v>
          </cell>
        </row>
        <row r="4497">
          <cell r="AE4497" t="str">
            <v>05 - ANULADA EN VIGENCIA</v>
          </cell>
          <cell r="AP4497">
            <v>7094093</v>
          </cell>
        </row>
        <row r="4498">
          <cell r="AE4498" t="str">
            <v>05 - ANULADA EN VIGENCIA</v>
          </cell>
          <cell r="AP4498">
            <v>7094103</v>
          </cell>
        </row>
        <row r="4499">
          <cell r="AE4499" t="str">
            <v>05 - ANULADA EN VIGENCIA</v>
          </cell>
          <cell r="AP4499">
            <v>1065899</v>
          </cell>
        </row>
        <row r="4500">
          <cell r="AE4500" t="str">
            <v>05 - ANULADA EN VIGENCIA</v>
          </cell>
          <cell r="AP4500">
            <v>8048794</v>
          </cell>
        </row>
        <row r="4501">
          <cell r="AE4501" t="str">
            <v>05 - ANULADA EN VIGENCIA</v>
          </cell>
          <cell r="AP4501">
            <v>533232</v>
          </cell>
        </row>
        <row r="4502">
          <cell r="AE4502" t="str">
            <v>05 - ANULADA EN VIGENCIA</v>
          </cell>
          <cell r="AP4502">
            <v>540239</v>
          </cell>
        </row>
        <row r="4503">
          <cell r="AE4503" t="str">
            <v>05 - ANULADA EN VIGENCIA</v>
          </cell>
          <cell r="AP4503">
            <v>508129</v>
          </cell>
        </row>
        <row r="4504">
          <cell r="AE4504" t="str">
            <v>05 - ANULADA EN VIGENCIA</v>
          </cell>
          <cell r="AP4504">
            <v>8048799</v>
          </cell>
        </row>
        <row r="4505">
          <cell r="AE4505" t="str">
            <v>05 - ANULADA EN VIGENCIA</v>
          </cell>
          <cell r="AP4505">
            <v>8048804</v>
          </cell>
        </row>
        <row r="4506">
          <cell r="AE4506" t="str">
            <v>05 - ANULADA EN VIGENCIA</v>
          </cell>
          <cell r="AP4506">
            <v>1266598</v>
          </cell>
        </row>
        <row r="4507">
          <cell r="AE4507" t="str">
            <v>05 - ANULADA EN VIGENCIA</v>
          </cell>
          <cell r="AP4507">
            <v>7329517</v>
          </cell>
        </row>
        <row r="4508">
          <cell r="AE4508" t="str">
            <v>05 - ANULADA EN VIGENCIA</v>
          </cell>
          <cell r="AP4508">
            <v>7259125</v>
          </cell>
        </row>
        <row r="4509">
          <cell r="AE4509" t="str">
            <v>05 - ANULADA EN VIGENCIA</v>
          </cell>
          <cell r="AP4509">
            <v>8073521</v>
          </cell>
        </row>
        <row r="4510">
          <cell r="AE4510" t="str">
            <v>05 - ANULADA EN VIGENCIA</v>
          </cell>
          <cell r="AP4510">
            <v>7285037</v>
          </cell>
        </row>
        <row r="4511">
          <cell r="AE4511" t="str">
            <v>05 - ANULADA EN VIGENCIA</v>
          </cell>
          <cell r="AP4511">
            <v>7285048</v>
          </cell>
        </row>
        <row r="4512">
          <cell r="AE4512" t="str">
            <v>05 - ANULADA EN VIGENCIA</v>
          </cell>
          <cell r="AP4512">
            <v>8109292</v>
          </cell>
        </row>
        <row r="4513">
          <cell r="AE4513" t="str">
            <v>05 - ANULADA EN VIGENCIA</v>
          </cell>
          <cell r="AP4513">
            <v>8109319</v>
          </cell>
        </row>
        <row r="4514">
          <cell r="AE4514" t="str">
            <v>05 - ANULADA EN VIGENCIA</v>
          </cell>
          <cell r="AP4514">
            <v>6545707</v>
          </cell>
        </row>
        <row r="4515">
          <cell r="AE4515" t="str">
            <v>05 - ANULADA EN VIGENCIA</v>
          </cell>
          <cell r="AP4515">
            <v>6592592</v>
          </cell>
        </row>
        <row r="4516">
          <cell r="AE4516" t="str">
            <v>05 - ANULADA EN VIGENCIA</v>
          </cell>
          <cell r="AP4516">
            <v>13511</v>
          </cell>
        </row>
        <row r="4517">
          <cell r="AE4517" t="str">
            <v>05 - ANULADA EN VIGENCIA</v>
          </cell>
          <cell r="AP4517">
            <v>7509532</v>
          </cell>
        </row>
        <row r="4518">
          <cell r="AE4518" t="str">
            <v>04 - NO RENOVADA</v>
          </cell>
          <cell r="AP4518">
            <v>538737</v>
          </cell>
        </row>
        <row r="4519">
          <cell r="AE4519" t="str">
            <v>04 - NO RENOVADA</v>
          </cell>
          <cell r="AP4519">
            <v>537447</v>
          </cell>
        </row>
        <row r="4520">
          <cell r="AE4520" t="str">
            <v>04 - NO RENOVADA</v>
          </cell>
          <cell r="AP4520">
            <v>507499</v>
          </cell>
        </row>
        <row r="4521">
          <cell r="AE4521" t="str">
            <v>05 - ANULADA EN VIGENCIA</v>
          </cell>
          <cell r="AP4521" t="str">
            <v>E0002432</v>
          </cell>
        </row>
        <row r="4522">
          <cell r="AE4522" t="str">
            <v>05 - ANULADA EN VIGENCIA</v>
          </cell>
          <cell r="AP4522">
            <v>8024</v>
          </cell>
        </row>
        <row r="4523">
          <cell r="AE4523" t="str">
            <v>04 - NO RENOVADA</v>
          </cell>
          <cell r="AP4523">
            <v>49035</v>
          </cell>
        </row>
        <row r="4524">
          <cell r="AE4524" t="str">
            <v>05 - ANULADA EN VIGENCIA</v>
          </cell>
          <cell r="AP4524">
            <v>2008797963</v>
          </cell>
        </row>
        <row r="4525">
          <cell r="AE4525" t="str">
            <v>04 - NO RENOVADA</v>
          </cell>
          <cell r="AP4525">
            <v>612036870</v>
          </cell>
        </row>
        <row r="4526">
          <cell r="AE4526" t="str">
            <v>04 - NO RENOVADA</v>
          </cell>
          <cell r="AP4526">
            <v>12217808</v>
          </cell>
        </row>
        <row r="4527">
          <cell r="AE4527" t="str">
            <v>02 - EN PROCESO</v>
          </cell>
          <cell r="AP4527">
            <v>11636910</v>
          </cell>
        </row>
        <row r="4528">
          <cell r="AE4528" t="str">
            <v>08 - VIGENCIA ANTERIOR</v>
          </cell>
          <cell r="AP4528">
            <v>8073</v>
          </cell>
        </row>
        <row r="4529">
          <cell r="AE4529" t="str">
            <v>04 - NO RENOVADA</v>
          </cell>
          <cell r="AP4529">
            <v>9066</v>
          </cell>
        </row>
        <row r="4530">
          <cell r="AE4530" t="str">
            <v>05 - ANULADA EN VIGENCIA</v>
          </cell>
          <cell r="AP4530">
            <v>50851</v>
          </cell>
        </row>
        <row r="4531">
          <cell r="AE4531" t="str">
            <v>05 - ANULADA EN VIGENCIA</v>
          </cell>
          <cell r="AP4531">
            <v>47317</v>
          </cell>
        </row>
        <row r="4532">
          <cell r="AE4532" t="str">
            <v>05 - ANULADA EN VIGENCIA</v>
          </cell>
          <cell r="AP4532">
            <v>50166</v>
          </cell>
        </row>
        <row r="4533">
          <cell r="AE4533" t="str">
            <v>05 - ANULADA EN VIGENCIA</v>
          </cell>
          <cell r="AP4533">
            <v>49528</v>
          </cell>
        </row>
        <row r="4534">
          <cell r="AE4534" t="str">
            <v>05 - ANULADA EN VIGENCIA</v>
          </cell>
          <cell r="AP4534">
            <v>98221</v>
          </cell>
        </row>
        <row r="4535">
          <cell r="AE4535" t="str">
            <v>05 - ANULADA EN VIGENCIA</v>
          </cell>
          <cell r="AP4535">
            <v>62071348</v>
          </cell>
        </row>
        <row r="4536">
          <cell r="AE4536" t="str">
            <v>05 - ANULADA EN VIGENCIA</v>
          </cell>
          <cell r="AP4536">
            <v>68490</v>
          </cell>
        </row>
        <row r="4537">
          <cell r="AE4537" t="str">
            <v>05 - ANULADA EN VIGENCIA</v>
          </cell>
          <cell r="AP4537">
            <v>220019895</v>
          </cell>
        </row>
        <row r="4538">
          <cell r="AE4538" t="str">
            <v>05 - ANULADA EN VIGENCIA</v>
          </cell>
          <cell r="AP4538">
            <v>220022442</v>
          </cell>
        </row>
        <row r="4539">
          <cell r="AE4539" t="str">
            <v>05 - ANULADA EN VIGENCIA</v>
          </cell>
          <cell r="AP4539">
            <v>220018006</v>
          </cell>
        </row>
        <row r="4540">
          <cell r="AE4540" t="str">
            <v>05 - ANULADA EN VIGENCIA</v>
          </cell>
          <cell r="AP4540">
            <v>2004787086</v>
          </cell>
        </row>
        <row r="4541">
          <cell r="AE4541" t="str">
            <v>04 - NO RENOVADA</v>
          </cell>
          <cell r="AP4541">
            <v>17415213</v>
          </cell>
        </row>
        <row r="4542">
          <cell r="AE4542" t="str">
            <v>04 - NO RENOVADA</v>
          </cell>
          <cell r="AP4542">
            <v>18551399</v>
          </cell>
        </row>
        <row r="4543">
          <cell r="AE4543" t="str">
            <v>04 - NO RENOVADA</v>
          </cell>
          <cell r="AP4543">
            <v>17035539</v>
          </cell>
        </row>
        <row r="4544">
          <cell r="AE4544" t="str">
            <v>04 - NO RENOVADA</v>
          </cell>
          <cell r="AP4544">
            <v>19043519</v>
          </cell>
        </row>
        <row r="4545">
          <cell r="AE4545" t="str">
            <v>04 - NO RENOVADA</v>
          </cell>
          <cell r="AP4545">
            <v>17179756</v>
          </cell>
        </row>
        <row r="4546">
          <cell r="AE4546" t="str">
            <v>05 - ANULADA EN VIGENCIA</v>
          </cell>
          <cell r="AP4546">
            <v>79796</v>
          </cell>
        </row>
        <row r="4547">
          <cell r="AE4547" t="str">
            <v>01 - RENOVADA</v>
          </cell>
          <cell r="AP4547">
            <v>128895</v>
          </cell>
        </row>
        <row r="4548">
          <cell r="AE4548" t="str">
            <v>03 - PENDIENTE</v>
          </cell>
          <cell r="AP4548">
            <v>1129358</v>
          </cell>
        </row>
        <row r="4549">
          <cell r="AE4549" t="str">
            <v>03 - PENDIENTE</v>
          </cell>
          <cell r="AP4549">
            <v>620101023</v>
          </cell>
        </row>
        <row r="4550">
          <cell r="AE4550" t="str">
            <v>01 - RENOVADA</v>
          </cell>
          <cell r="AP4550">
            <v>602945212</v>
          </cell>
        </row>
        <row r="4551">
          <cell r="AE4551" t="str">
            <v>01 - RENOVADA</v>
          </cell>
          <cell r="AP4551">
            <v>21146564</v>
          </cell>
        </row>
        <row r="4552">
          <cell r="AE4552" t="str">
            <v>03 - PENDIENTE</v>
          </cell>
          <cell r="AP4552">
            <v>116088</v>
          </cell>
        </row>
        <row r="4553">
          <cell r="AE4553" t="str">
            <v>03 - PENDIENTE</v>
          </cell>
          <cell r="AP4553" t="str">
            <v>P0039204</v>
          </cell>
        </row>
        <row r="4554">
          <cell r="AE4554" t="str">
            <v>03 - PENDIENTE</v>
          </cell>
          <cell r="AP4554" t="str">
            <v>S0035867</v>
          </cell>
        </row>
        <row r="4555">
          <cell r="AE4555" t="str">
            <v>02 - EN PROCESO</v>
          </cell>
          <cell r="AP4555">
            <v>96400</v>
          </cell>
        </row>
        <row r="4556">
          <cell r="AE4556" t="str">
            <v>04 - NO RENOVADA</v>
          </cell>
          <cell r="AP4556">
            <v>7012100125413</v>
          </cell>
        </row>
        <row r="4557">
          <cell r="AE4557" t="str">
            <v>04 - NO RENOVADA</v>
          </cell>
          <cell r="AP4557" t="str">
            <v>P0039062</v>
          </cell>
        </row>
        <row r="4558">
          <cell r="AE4558" t="str">
            <v>04 - NO RENOVADA</v>
          </cell>
          <cell r="AP4558" t="str">
            <v>S0035726</v>
          </cell>
        </row>
        <row r="4559">
          <cell r="AE4559" t="str">
            <v>04 - NO RENOVADA</v>
          </cell>
          <cell r="AP4559">
            <v>7022100146480</v>
          </cell>
        </row>
        <row r="4560">
          <cell r="AE4560" t="str">
            <v>04 - NO RENOVADA</v>
          </cell>
          <cell r="AP4560">
            <v>6102059900223</v>
          </cell>
        </row>
        <row r="4561">
          <cell r="AE4561" t="str">
            <v>01 - RENOVADA</v>
          </cell>
          <cell r="AP4561">
            <v>20484665</v>
          </cell>
        </row>
        <row r="4562">
          <cell r="AE4562" t="str">
            <v>02 - EN PROCESO</v>
          </cell>
          <cell r="AP4562">
            <v>127316</v>
          </cell>
        </row>
        <row r="4563">
          <cell r="AE4563" t="str">
            <v>02 - EN PROCESO</v>
          </cell>
          <cell r="AP4563">
            <v>62099663</v>
          </cell>
        </row>
        <row r="4564">
          <cell r="AE4564" t="str">
            <v>05 - ANULADA EN VIGENCIA</v>
          </cell>
          <cell r="AP4564">
            <v>18381050</v>
          </cell>
        </row>
        <row r="4565">
          <cell r="AE4565" t="str">
            <v>05 - ANULADA EN VIGENCIA</v>
          </cell>
          <cell r="AP4565">
            <v>220017521</v>
          </cell>
        </row>
        <row r="4566">
          <cell r="AE4566" t="str">
            <v>04 - NO RENOVADA</v>
          </cell>
          <cell r="AP4566">
            <v>892388</v>
          </cell>
        </row>
        <row r="4567">
          <cell r="AE4567" t="str">
            <v>04 - NO RENOVADA</v>
          </cell>
          <cell r="AP4567">
            <v>1000283309</v>
          </cell>
        </row>
        <row r="4568">
          <cell r="AE4568" t="str">
            <v>04 - NO RENOVADA</v>
          </cell>
          <cell r="AP4568">
            <v>899175</v>
          </cell>
        </row>
        <row r="4569">
          <cell r="AE4569" t="str">
            <v>04 - NO RENOVADA</v>
          </cell>
          <cell r="AP4569">
            <v>1000285755</v>
          </cell>
        </row>
        <row r="4570">
          <cell r="AE4570" t="str">
            <v>04 - NO RENOVADA</v>
          </cell>
          <cell r="AP4570">
            <v>2402259900076</v>
          </cell>
        </row>
        <row r="4571">
          <cell r="AE4571" t="str">
            <v>04 - NO RENOVADA</v>
          </cell>
          <cell r="AP4571" t="str">
            <v>E0004673</v>
          </cell>
        </row>
        <row r="4572">
          <cell r="AE4572" t="str">
            <v>04 - NO RENOVADA</v>
          </cell>
          <cell r="AP4572">
            <v>112402</v>
          </cell>
        </row>
        <row r="4573">
          <cell r="AE4573" t="str">
            <v>04 - NO RENOVADA</v>
          </cell>
          <cell r="AP4573">
            <v>8991784</v>
          </cell>
        </row>
        <row r="4574">
          <cell r="AE4574" t="str">
            <v>04 - NO RENOVADA</v>
          </cell>
          <cell r="AP4574">
            <v>220023036</v>
          </cell>
        </row>
        <row r="4575">
          <cell r="AE4575" t="str">
            <v>04 - NO RENOVADA</v>
          </cell>
          <cell r="AP4575">
            <v>7686219</v>
          </cell>
        </row>
        <row r="4576">
          <cell r="AE4576" t="str">
            <v>03 - PENDIENTE</v>
          </cell>
          <cell r="AP4576" t="str">
            <v>E0032980</v>
          </cell>
        </row>
        <row r="4577">
          <cell r="AE4577" t="str">
            <v>01 - RENOVADA</v>
          </cell>
          <cell r="AP4577" t="str">
            <v>E0002721</v>
          </cell>
        </row>
        <row r="4578">
          <cell r="AE4578" t="str">
            <v>03 - PENDIENTE</v>
          </cell>
          <cell r="AP4578">
            <v>59194118</v>
          </cell>
        </row>
        <row r="4579">
          <cell r="AE4579" t="str">
            <v>03 - PENDIENTE</v>
          </cell>
          <cell r="AP4579">
            <v>59194060</v>
          </cell>
        </row>
        <row r="4580">
          <cell r="AE4580" t="str">
            <v>05 - ANULADA EN VIGENCIA</v>
          </cell>
          <cell r="AP4580">
            <v>7011459900909</v>
          </cell>
        </row>
        <row r="4581">
          <cell r="AE4581" t="str">
            <v>05 - ANULADA EN VIGENCIA</v>
          </cell>
          <cell r="AP4581">
            <v>7020910105986</v>
          </cell>
        </row>
        <row r="4582">
          <cell r="AE4582" t="str">
            <v>03 - PENDIENTE</v>
          </cell>
          <cell r="AP4582">
            <v>1129217</v>
          </cell>
        </row>
        <row r="4583">
          <cell r="AE4583" t="str">
            <v>01 - RENOVADA</v>
          </cell>
          <cell r="AP4583">
            <v>70241132</v>
          </cell>
        </row>
        <row r="4584">
          <cell r="AE4584" t="str">
            <v>01 - RENOVADA</v>
          </cell>
          <cell r="AP4584">
            <v>2502259900008</v>
          </cell>
        </row>
        <row r="4585">
          <cell r="AE4585" t="str">
            <v>03 - PENDIENTE</v>
          </cell>
          <cell r="AP4585">
            <v>67253958</v>
          </cell>
        </row>
        <row r="4586">
          <cell r="AE4586" t="str">
            <v>03 - PENDIENTE</v>
          </cell>
          <cell r="AP4586">
            <v>7011800107049</v>
          </cell>
        </row>
        <row r="4587">
          <cell r="AE4587" t="str">
            <v>03 - PENDIENTE</v>
          </cell>
          <cell r="AP4587">
            <v>7021800119633</v>
          </cell>
        </row>
        <row r="4588">
          <cell r="AE4588" t="str">
            <v>05 - ANULADA EN VIGENCIA</v>
          </cell>
          <cell r="AP4588">
            <v>70117648</v>
          </cell>
        </row>
        <row r="4589">
          <cell r="AE4589" t="str">
            <v>05 - ANULADA EN VIGENCIA</v>
          </cell>
          <cell r="AP4589">
            <v>70117863</v>
          </cell>
        </row>
        <row r="4590">
          <cell r="AE4590" t="str">
            <v>05 - ANULADA EN VIGENCIA</v>
          </cell>
          <cell r="AP4590">
            <v>8480920</v>
          </cell>
        </row>
        <row r="4591">
          <cell r="AE4591" t="str">
            <v>05 - ANULADA EN VIGENCIA</v>
          </cell>
          <cell r="AP4591">
            <v>70120103</v>
          </cell>
        </row>
        <row r="4592">
          <cell r="AE4592" t="str">
            <v>05 - ANULADA EN VIGENCIA</v>
          </cell>
          <cell r="AP4592">
            <v>85638</v>
          </cell>
        </row>
        <row r="4593">
          <cell r="AE4593" t="str">
            <v>04 - NO RENOVADA</v>
          </cell>
          <cell r="AP4593">
            <v>32788878</v>
          </cell>
        </row>
        <row r="4594">
          <cell r="AE4594" t="str">
            <v>04 - NO RENOVADA</v>
          </cell>
          <cell r="AP4594">
            <v>32788909</v>
          </cell>
        </row>
        <row r="4595">
          <cell r="AE4595" t="str">
            <v>04 - NO RENOVADA</v>
          </cell>
          <cell r="AP4595" t="str">
            <v>S0202330</v>
          </cell>
        </row>
        <row r="4596">
          <cell r="AE4596" t="str">
            <v>05 - ANULADA EN VIGENCIA</v>
          </cell>
          <cell r="AP4596">
            <v>7719923</v>
          </cell>
        </row>
        <row r="4597">
          <cell r="AE4597" t="str">
            <v>05 - ANULADA EN VIGENCIA</v>
          </cell>
          <cell r="AP4597">
            <v>7718206</v>
          </cell>
        </row>
        <row r="4598">
          <cell r="AE4598" t="str">
            <v>05 - ANULADA EN VIGENCIA</v>
          </cell>
          <cell r="AP4598">
            <v>7793672</v>
          </cell>
        </row>
        <row r="4599">
          <cell r="AE4599" t="str">
            <v>05 - ANULADA EN VIGENCIA</v>
          </cell>
          <cell r="AP4599">
            <v>7824047</v>
          </cell>
        </row>
        <row r="4600">
          <cell r="AE4600" t="str">
            <v>05 - ANULADA EN VIGENCIA</v>
          </cell>
          <cell r="AP4600">
            <v>7837054</v>
          </cell>
        </row>
        <row r="4601">
          <cell r="AE4601" t="str">
            <v>05 - ANULADA EN VIGENCIA</v>
          </cell>
          <cell r="AP4601">
            <v>8179947</v>
          </cell>
        </row>
        <row r="4602">
          <cell r="AE4602" t="str">
            <v>05 - ANULADA EN VIGENCIA</v>
          </cell>
          <cell r="AP4602">
            <v>8179960</v>
          </cell>
        </row>
        <row r="4603">
          <cell r="AE4603" t="str">
            <v>05 - ANULADA EN VIGENCIA</v>
          </cell>
          <cell r="AP4603" t="str">
            <v>ACSSOLUTION01</v>
          </cell>
        </row>
        <row r="4604">
          <cell r="AE4604" t="str">
            <v>04 - NO RENOVADA</v>
          </cell>
          <cell r="AP4604">
            <v>520127</v>
          </cell>
        </row>
        <row r="4605">
          <cell r="AE4605" t="str">
            <v>04 - NO RENOVADA</v>
          </cell>
          <cell r="AP4605">
            <v>522623</v>
          </cell>
        </row>
        <row r="4606">
          <cell r="AE4606" t="str">
            <v>04 - NO RENOVADA</v>
          </cell>
          <cell r="AP4606">
            <v>502543</v>
          </cell>
        </row>
        <row r="4607">
          <cell r="AE4607" t="str">
            <v>05 - ANULADA EN VIGENCIA</v>
          </cell>
          <cell r="AP4607">
            <v>1404726</v>
          </cell>
        </row>
        <row r="4608">
          <cell r="AE4608" t="str">
            <v>04 - NO RENOVADA</v>
          </cell>
          <cell r="AP4608">
            <v>505003</v>
          </cell>
        </row>
        <row r="4609">
          <cell r="AE4609" t="str">
            <v>03 - PENDIENTE</v>
          </cell>
          <cell r="AP4609">
            <v>80788</v>
          </cell>
        </row>
        <row r="4610">
          <cell r="AE4610" t="str">
            <v>05 - ANULADA EN VIGENCIA</v>
          </cell>
          <cell r="AP4610">
            <v>1357596</v>
          </cell>
        </row>
        <row r="4611">
          <cell r="AE4611" t="str">
            <v>04 - NO RENOVADA</v>
          </cell>
          <cell r="AP4611">
            <v>17337647</v>
          </cell>
        </row>
        <row r="4612">
          <cell r="AE4612" t="str">
            <v>01 - RENOVADA</v>
          </cell>
          <cell r="AP4612">
            <v>1389315</v>
          </cell>
        </row>
        <row r="4613">
          <cell r="AE4613" t="str">
            <v>01 - RENOVADA</v>
          </cell>
          <cell r="AP4613">
            <v>2011830883</v>
          </cell>
        </row>
        <row r="4614">
          <cell r="AE4614" t="str">
            <v>05 - ANULADA EN VIGENCIA</v>
          </cell>
          <cell r="AP4614">
            <v>14104753</v>
          </cell>
        </row>
        <row r="4615">
          <cell r="AE4615" t="str">
            <v>05 - ANULADA EN VIGENCIA</v>
          </cell>
          <cell r="AP4615">
            <v>70145267</v>
          </cell>
        </row>
        <row r="4616">
          <cell r="AE4616" t="str">
            <v>04 - NO RENOVADA</v>
          </cell>
          <cell r="AP4616">
            <v>70114945</v>
          </cell>
        </row>
        <row r="4617">
          <cell r="AE4617" t="str">
            <v>01 - RENOVADA</v>
          </cell>
          <cell r="AP4617">
            <v>2011326535</v>
          </cell>
        </row>
        <row r="4618">
          <cell r="AE4618" t="str">
            <v>03 - PENDIENTE</v>
          </cell>
          <cell r="AP4618">
            <v>132206</v>
          </cell>
        </row>
        <row r="4619">
          <cell r="AE4619" t="str">
            <v>01 - RENOVADA</v>
          </cell>
          <cell r="AP4619">
            <v>4167916</v>
          </cell>
        </row>
        <row r="4620">
          <cell r="AE4620" t="str">
            <v>04 - NO RENOVADA</v>
          </cell>
          <cell r="AP4620">
            <v>77988</v>
          </cell>
        </row>
        <row r="4621">
          <cell r="AE4621" t="str">
            <v>01 - RENOVADA</v>
          </cell>
          <cell r="AP4621" t="str">
            <v>E0003208</v>
          </cell>
        </row>
        <row r="4622">
          <cell r="AE4622" t="str">
            <v>03 - PENDIENTE</v>
          </cell>
          <cell r="AP4622">
            <v>1494309</v>
          </cell>
        </row>
        <row r="4623">
          <cell r="AE4623" t="str">
            <v>01 - RENOVADA</v>
          </cell>
          <cell r="AP4623">
            <v>15325873</v>
          </cell>
        </row>
        <row r="4624">
          <cell r="AE4624" t="str">
            <v>01 - RENOVADA</v>
          </cell>
          <cell r="AP4624">
            <v>620101361</v>
          </cell>
        </row>
        <row r="4625">
          <cell r="AE4625" t="str">
            <v>01 - RENOVADA</v>
          </cell>
          <cell r="AP4625">
            <v>9186421</v>
          </cell>
        </row>
        <row r="4626">
          <cell r="AE4626" t="str">
            <v>03 - PENDIENTE</v>
          </cell>
          <cell r="AP4626">
            <v>103046</v>
          </cell>
        </row>
        <row r="4627">
          <cell r="AE4627" t="str">
            <v>01 - RENOVADA</v>
          </cell>
          <cell r="AP4627">
            <v>1129690</v>
          </cell>
        </row>
        <row r="4628">
          <cell r="AE4628" t="str">
            <v>08 - VIGENCIA ANTERIOR</v>
          </cell>
          <cell r="AP4628">
            <v>5109631168</v>
          </cell>
        </row>
        <row r="4629">
          <cell r="AE4629" t="str">
            <v>01 - RENOVADA</v>
          </cell>
          <cell r="AP4629">
            <v>70238544</v>
          </cell>
        </row>
        <row r="4630">
          <cell r="AE4630" t="str">
            <v>01 - RENOVADA</v>
          </cell>
          <cell r="AP4630">
            <v>510982482305</v>
          </cell>
        </row>
        <row r="4631">
          <cell r="AE4631" t="str">
            <v>01 - RENOVADA</v>
          </cell>
          <cell r="AP4631">
            <v>510982482405</v>
          </cell>
        </row>
        <row r="4632">
          <cell r="AE4632" t="str">
            <v>03 - PENDIENTE</v>
          </cell>
          <cell r="AP4632">
            <v>17102671</v>
          </cell>
        </row>
        <row r="4633">
          <cell r="AE4633" t="str">
            <v>03 - PENDIENTE</v>
          </cell>
          <cell r="AP4633">
            <v>15303558</v>
          </cell>
        </row>
        <row r="4634">
          <cell r="AE4634" t="str">
            <v>03 - PENDIENTE</v>
          </cell>
          <cell r="AP4634">
            <v>14562208</v>
          </cell>
        </row>
        <row r="4635">
          <cell r="AE4635" t="str">
            <v>05 - ANULADA EN VIGENCIA</v>
          </cell>
          <cell r="AP4635">
            <v>521100</v>
          </cell>
        </row>
        <row r="4636">
          <cell r="AE4636" t="str">
            <v>05 - ANULADA EN VIGENCIA</v>
          </cell>
          <cell r="AP4636" t="str">
            <v>P0158608</v>
          </cell>
        </row>
        <row r="4637">
          <cell r="AE4637" t="str">
            <v>05 - ANULADA EN VIGENCIA</v>
          </cell>
          <cell r="AP4637" t="str">
            <v>S0152825</v>
          </cell>
        </row>
        <row r="4638">
          <cell r="AE4638" t="str">
            <v>05 - ANULADA EN VIGENCIA</v>
          </cell>
          <cell r="AP4638">
            <v>1300172693</v>
          </cell>
        </row>
        <row r="4639">
          <cell r="AE4639" t="str">
            <v>04 - NO RENOVADA</v>
          </cell>
          <cell r="AP4639">
            <v>17448871</v>
          </cell>
        </row>
        <row r="4640">
          <cell r="AE4640" t="str">
            <v>05 - ANULADA EN VIGENCIA</v>
          </cell>
          <cell r="AP4640">
            <v>1270748</v>
          </cell>
        </row>
        <row r="4641">
          <cell r="AE4641" t="str">
            <v>01 - RENOVADA</v>
          </cell>
          <cell r="AP4641">
            <v>2008583593</v>
          </cell>
        </row>
        <row r="4642">
          <cell r="AE4642" t="str">
            <v>03 - PENDIENTE</v>
          </cell>
          <cell r="AP4642">
            <v>21483634</v>
          </cell>
        </row>
        <row r="4643">
          <cell r="AE4643" t="str">
            <v>04 - NO RENOVADA</v>
          </cell>
          <cell r="AP4643">
            <v>230250139</v>
          </cell>
        </row>
        <row r="4644">
          <cell r="AE4644" t="str">
            <v>01 - RENOVADA</v>
          </cell>
          <cell r="AP4644">
            <v>251980</v>
          </cell>
        </row>
        <row r="4645">
          <cell r="AE4645" t="str">
            <v>01 - RENOVADA</v>
          </cell>
          <cell r="AP4645">
            <v>10125840</v>
          </cell>
        </row>
        <row r="4646">
          <cell r="AE4646" t="str">
            <v>03 - PENDIENTE</v>
          </cell>
          <cell r="AP4646" t="str">
            <v>P0186645</v>
          </cell>
        </row>
        <row r="4647">
          <cell r="AE4647" t="str">
            <v>03 - PENDIENTE</v>
          </cell>
          <cell r="AP4647" t="str">
            <v>S0182738</v>
          </cell>
        </row>
        <row r="4648">
          <cell r="AE4648" t="str">
            <v>05 - ANULADA EN VIGENCIA</v>
          </cell>
          <cell r="AP4648">
            <v>320</v>
          </cell>
        </row>
        <row r="4649">
          <cell r="AE4649" t="str">
            <v>05 - ANULADA EN VIGENCIA</v>
          </cell>
          <cell r="AP4649" t="str">
            <v>E0004872</v>
          </cell>
        </row>
        <row r="4650">
          <cell r="AE4650" t="str">
            <v>01 - RENOVADA</v>
          </cell>
          <cell r="AP4650">
            <v>3022500029470</v>
          </cell>
        </row>
        <row r="4651">
          <cell r="AE4651" t="str">
            <v>01 - RENOVADA</v>
          </cell>
          <cell r="AP4651">
            <v>3022500029518</v>
          </cell>
        </row>
        <row r="4652">
          <cell r="AE4652" t="str">
            <v>01 - RENOVADA</v>
          </cell>
          <cell r="AP4652">
            <v>3022500029564</v>
          </cell>
        </row>
        <row r="4653">
          <cell r="AE4653" t="str">
            <v>01 - RENOVADA</v>
          </cell>
          <cell r="AP4653">
            <v>3022500029573</v>
          </cell>
        </row>
        <row r="4654">
          <cell r="AE4654" t="str">
            <v>01 - RENOVADA</v>
          </cell>
          <cell r="AP4654">
            <v>3022500029578</v>
          </cell>
        </row>
        <row r="4655">
          <cell r="AE4655" t="str">
            <v>01 - RENOVADA</v>
          </cell>
          <cell r="AP4655">
            <v>3022500029586</v>
          </cell>
        </row>
        <row r="4656">
          <cell r="AE4656" t="str">
            <v>01 - RENOVADA</v>
          </cell>
          <cell r="AP4656">
            <v>3022500029594</v>
          </cell>
        </row>
        <row r="4657">
          <cell r="AE4657" t="str">
            <v>04 - NO RENOVADA</v>
          </cell>
          <cell r="AP4657">
            <v>220024767</v>
          </cell>
        </row>
        <row r="4658">
          <cell r="AE4658" t="str">
            <v>04 - NO RENOVADA</v>
          </cell>
          <cell r="AP4658">
            <v>47247</v>
          </cell>
        </row>
        <row r="4659">
          <cell r="AE4659" t="str">
            <v>04 - NO RENOVADA</v>
          </cell>
          <cell r="AP4659">
            <v>2032159900221</v>
          </cell>
        </row>
        <row r="4660">
          <cell r="AE4660" t="str">
            <v>04 - NO RENOVADA</v>
          </cell>
          <cell r="AP4660">
            <v>2102159900031</v>
          </cell>
        </row>
        <row r="4661">
          <cell r="AE4661" t="str">
            <v>04 - NO RENOVADA</v>
          </cell>
          <cell r="AP4661">
            <v>82055</v>
          </cell>
        </row>
        <row r="4662">
          <cell r="AE4662" t="str">
            <v>05 - ANULADA EN VIGENCIA</v>
          </cell>
          <cell r="AP4662">
            <v>95317351</v>
          </cell>
        </row>
        <row r="4663">
          <cell r="AE4663" t="str">
            <v>05 - ANULADA EN VIGENCIA</v>
          </cell>
          <cell r="AP4663">
            <v>3011800042665</v>
          </cell>
        </row>
        <row r="4664">
          <cell r="AE4664" t="str">
            <v>04 - NO RENOVADA</v>
          </cell>
          <cell r="AP4664">
            <v>1608287</v>
          </cell>
        </row>
        <row r="4665">
          <cell r="AE4665" t="str">
            <v>04 - NO RENOVADA</v>
          </cell>
          <cell r="AP4665">
            <v>1661625</v>
          </cell>
        </row>
        <row r="4666">
          <cell r="AE4666" t="str">
            <v>04 - NO RENOVADA</v>
          </cell>
          <cell r="AP4666">
            <v>17142802</v>
          </cell>
        </row>
        <row r="4667">
          <cell r="AE4667" t="str">
            <v>04 - NO RENOVADA</v>
          </cell>
          <cell r="AP4667">
            <v>230245633</v>
          </cell>
        </row>
        <row r="4668">
          <cell r="AE4668" t="str">
            <v>05 - ANULADA EN VIGENCIA</v>
          </cell>
          <cell r="AP4668">
            <v>497083</v>
          </cell>
        </row>
        <row r="4669">
          <cell r="AE4669" t="str">
            <v>01 - RENOVADA</v>
          </cell>
          <cell r="AP4669">
            <v>6102210103415</v>
          </cell>
        </row>
        <row r="4670">
          <cell r="AE4670" t="str">
            <v>01 - RENOVADA</v>
          </cell>
          <cell r="AP4670">
            <v>7012200031836</v>
          </cell>
        </row>
        <row r="4671">
          <cell r="AE4671" t="str">
            <v>01 - RENOVADA</v>
          </cell>
          <cell r="AP4671">
            <v>3012500009977</v>
          </cell>
        </row>
        <row r="4672">
          <cell r="AE4672" t="str">
            <v>01 - RENOVADA</v>
          </cell>
          <cell r="AP4672">
            <v>3012500009997</v>
          </cell>
        </row>
        <row r="4673">
          <cell r="AE4673" t="str">
            <v>01 - RENOVADA</v>
          </cell>
          <cell r="AP4673">
            <v>3012500010016</v>
          </cell>
        </row>
        <row r="4674">
          <cell r="AE4674" t="str">
            <v>01 - RENOVADA</v>
          </cell>
          <cell r="AP4674">
            <v>7022200037106</v>
          </cell>
        </row>
        <row r="4675">
          <cell r="AE4675" t="str">
            <v>03 - PENDIENTE</v>
          </cell>
          <cell r="AP4675">
            <v>3012500032267</v>
          </cell>
        </row>
        <row r="4676">
          <cell r="AE4676" t="str">
            <v>01 - RENOVADA</v>
          </cell>
          <cell r="AP4676">
            <v>70238554</v>
          </cell>
        </row>
        <row r="4677">
          <cell r="AE4677" t="str">
            <v>04 - NO RENOVADA</v>
          </cell>
          <cell r="AP4677">
            <v>70116012</v>
          </cell>
        </row>
        <row r="4678">
          <cell r="AE4678" t="str">
            <v>04 - NO RENOVADA</v>
          </cell>
          <cell r="AP4678">
            <v>3022300431196</v>
          </cell>
        </row>
        <row r="4679">
          <cell r="AE4679" t="str">
            <v>05 - ANULADA EN VIGENCIA</v>
          </cell>
          <cell r="AP4679">
            <v>2741859900147</v>
          </cell>
        </row>
        <row r="4680">
          <cell r="AE4680" t="str">
            <v>07 - DEVUELTO A AON</v>
          </cell>
          <cell r="AP4680">
            <v>2009000102</v>
          </cell>
        </row>
        <row r="4681">
          <cell r="AE4681" t="str">
            <v>05 - ANULADA EN VIGENCIA</v>
          </cell>
          <cell r="AP4681">
            <v>68729</v>
          </cell>
        </row>
        <row r="4682">
          <cell r="AE4682" t="str">
            <v>05 - ANULADA EN VIGENCIA</v>
          </cell>
          <cell r="AP4682">
            <v>114481</v>
          </cell>
        </row>
        <row r="4683">
          <cell r="AE4683" t="str">
            <v>05 - ANULADA EN VIGENCIA</v>
          </cell>
          <cell r="AP4683">
            <v>62087559</v>
          </cell>
        </row>
        <row r="4684">
          <cell r="AE4684" t="str">
            <v>05 - ANULADA EN VIGENCIA</v>
          </cell>
          <cell r="AP4684">
            <v>17148504</v>
          </cell>
        </row>
        <row r="4685">
          <cell r="AE4685" t="str">
            <v>05 - ANULADA EN VIGENCIA</v>
          </cell>
          <cell r="AP4685">
            <v>17148506</v>
          </cell>
        </row>
        <row r="4686">
          <cell r="AE4686" t="str">
            <v>05 - ANULADA EN VIGENCIA</v>
          </cell>
          <cell r="AP4686">
            <v>16755807</v>
          </cell>
        </row>
        <row r="4687">
          <cell r="AE4687" t="str">
            <v>05 - ANULADA EN VIGENCIA</v>
          </cell>
          <cell r="AP4687">
            <v>17110530</v>
          </cell>
        </row>
        <row r="4688">
          <cell r="AE4688" t="str">
            <v>05 - ANULADA EN VIGENCIA</v>
          </cell>
          <cell r="AP4688" t="str">
            <v>E0022196</v>
          </cell>
        </row>
        <row r="4689">
          <cell r="AE4689" t="str">
            <v>05 - ANULADA EN VIGENCIA</v>
          </cell>
          <cell r="AP4689">
            <v>17110525</v>
          </cell>
        </row>
        <row r="4690">
          <cell r="AE4690" t="str">
            <v>05 - ANULADA EN VIGENCIA</v>
          </cell>
          <cell r="AP4690">
            <v>17110528</v>
          </cell>
        </row>
        <row r="4691">
          <cell r="AE4691" t="str">
            <v>01 - RENOVADA</v>
          </cell>
          <cell r="AP4691">
            <v>20550193</v>
          </cell>
        </row>
        <row r="4692">
          <cell r="AE4692" t="str">
            <v>04 - NO RENOVADA</v>
          </cell>
          <cell r="AP4692">
            <v>16483363</v>
          </cell>
        </row>
        <row r="4693">
          <cell r="AE4693" t="str">
            <v>05 - ANULADA EN VIGENCIA</v>
          </cell>
          <cell r="AP4693">
            <v>1376789</v>
          </cell>
        </row>
        <row r="4694">
          <cell r="AE4694" t="str">
            <v>01 - RENOVADA</v>
          </cell>
          <cell r="AP4694">
            <v>16880752</v>
          </cell>
        </row>
        <row r="4695">
          <cell r="AE4695" t="str">
            <v>03 - PENDIENTE</v>
          </cell>
          <cell r="AP4695">
            <v>1300041093</v>
          </cell>
        </row>
        <row r="4696">
          <cell r="AE4696" t="str">
            <v>03 - PENDIENTE</v>
          </cell>
          <cell r="AP4696">
            <v>1000133119</v>
          </cell>
        </row>
        <row r="4697">
          <cell r="AE4697" t="str">
            <v>03 - PENDIENTE</v>
          </cell>
          <cell r="AP4697">
            <v>504067</v>
          </cell>
        </row>
        <row r="4698">
          <cell r="AE4698" t="str">
            <v>04 - NO RENOVADA</v>
          </cell>
          <cell r="AP4698">
            <v>18845402</v>
          </cell>
        </row>
        <row r="4699">
          <cell r="AE4699" t="str">
            <v>01 - RENOVADA</v>
          </cell>
          <cell r="AP4699">
            <v>20335569</v>
          </cell>
        </row>
        <row r="4700">
          <cell r="AE4700" t="str">
            <v>04 - NO RENOVADA</v>
          </cell>
          <cell r="AP4700">
            <v>72433</v>
          </cell>
        </row>
        <row r="4701">
          <cell r="AE4701" t="str">
            <v>03 - PENDIENTE</v>
          </cell>
          <cell r="AP4701">
            <v>111442</v>
          </cell>
        </row>
        <row r="4702">
          <cell r="AE4702" t="str">
            <v>01 - RENOVADA</v>
          </cell>
          <cell r="AP4702">
            <v>70211871</v>
          </cell>
        </row>
        <row r="4703">
          <cell r="AE4703" t="str">
            <v>01 - RENOVADA</v>
          </cell>
          <cell r="AP4703">
            <v>16473693</v>
          </cell>
        </row>
        <row r="4704">
          <cell r="AE4704" t="str">
            <v>05 - ANULADA EN VIGENCIA</v>
          </cell>
          <cell r="AP4704">
            <v>70185085</v>
          </cell>
        </row>
        <row r="4705">
          <cell r="AE4705" t="str">
            <v>05 - ANULADA EN VIGENCIA</v>
          </cell>
          <cell r="AP4705">
            <v>70134804</v>
          </cell>
        </row>
        <row r="4706">
          <cell r="AE4706" t="str">
            <v>05 - ANULADA EN VIGENCIA</v>
          </cell>
          <cell r="AP4706">
            <v>70181323</v>
          </cell>
        </row>
        <row r="4707">
          <cell r="AE4707" t="str">
            <v>01 - RENOVADA</v>
          </cell>
          <cell r="AP4707">
            <v>70250297</v>
          </cell>
        </row>
        <row r="4708">
          <cell r="AE4708" t="str">
            <v>08 - VIGENCIA ANTERIOR</v>
          </cell>
          <cell r="AP4708">
            <v>7599</v>
          </cell>
        </row>
        <row r="4709">
          <cell r="AE4709" t="str">
            <v>05 - ANULADA EN VIGENCIA</v>
          </cell>
          <cell r="AP4709">
            <v>9261</v>
          </cell>
        </row>
        <row r="4710">
          <cell r="AE4710" t="str">
            <v>01 - RENOVADA</v>
          </cell>
          <cell r="AP4710">
            <v>3022500080870</v>
          </cell>
        </row>
        <row r="4711">
          <cell r="AE4711" t="str">
            <v>01 - RENOVADA</v>
          </cell>
          <cell r="AP4711">
            <v>3022500080884</v>
          </cell>
        </row>
        <row r="4712">
          <cell r="AE4712" t="str">
            <v>01 - RENOVADA</v>
          </cell>
          <cell r="AP4712">
            <v>1542307</v>
          </cell>
        </row>
        <row r="4713">
          <cell r="AE4713" t="str">
            <v>04 - NO RENOVADA</v>
          </cell>
          <cell r="AP4713">
            <v>3022400063112</v>
          </cell>
        </row>
        <row r="4714">
          <cell r="AE4714" t="str">
            <v>01 - RENOVADA</v>
          </cell>
          <cell r="AP4714">
            <v>1581063</v>
          </cell>
        </row>
        <row r="4715">
          <cell r="AE4715" t="str">
            <v>04 - NO RENOVADA</v>
          </cell>
          <cell r="AP4715">
            <v>17325430</v>
          </cell>
        </row>
        <row r="4716">
          <cell r="AE4716" t="str">
            <v>04 - NO RENOVADA</v>
          </cell>
          <cell r="AP4716">
            <v>17352825</v>
          </cell>
        </row>
        <row r="4717">
          <cell r="AE4717" t="str">
            <v>04 - NO RENOVADA</v>
          </cell>
          <cell r="AP4717">
            <v>17352872</v>
          </cell>
        </row>
        <row r="4718">
          <cell r="AE4718" t="str">
            <v>04 - NO RENOVADA</v>
          </cell>
          <cell r="AP4718">
            <v>1300000741</v>
          </cell>
        </row>
        <row r="4719">
          <cell r="AE4719" t="str">
            <v>04 - NO RENOVADA</v>
          </cell>
          <cell r="AP4719">
            <v>17392487</v>
          </cell>
        </row>
        <row r="4720">
          <cell r="AE4720" t="str">
            <v>04 - NO RENOVADA</v>
          </cell>
          <cell r="AP4720">
            <v>17407087</v>
          </cell>
        </row>
        <row r="4721">
          <cell r="AE4721" t="str">
            <v>04 - NO RENOVADA</v>
          </cell>
          <cell r="AP4721">
            <v>16751607</v>
          </cell>
        </row>
        <row r="4722">
          <cell r="AE4722" t="str">
            <v>05 - ANULADA EN VIGENCIA</v>
          </cell>
          <cell r="AP4722">
            <v>16433793</v>
          </cell>
        </row>
        <row r="4723">
          <cell r="AE4723" t="str">
            <v>01 - RENOVADA</v>
          </cell>
          <cell r="AP4723">
            <v>230255298</v>
          </cell>
        </row>
        <row r="4724">
          <cell r="AE4724" t="str">
            <v>01 - RENOVADA</v>
          </cell>
          <cell r="AP4724">
            <v>70216683</v>
          </cell>
        </row>
        <row r="4725">
          <cell r="AE4725" t="str">
            <v>01 - RENOVADA</v>
          </cell>
          <cell r="AP4725">
            <v>70218162</v>
          </cell>
        </row>
        <row r="4726">
          <cell r="AE4726" t="str">
            <v>04 - NO RENOVADA</v>
          </cell>
          <cell r="AP4726">
            <v>230246187</v>
          </cell>
        </row>
        <row r="4727">
          <cell r="AE4727" t="str">
            <v>04 - NO RENOVADA</v>
          </cell>
          <cell r="AP4727">
            <v>648999</v>
          </cell>
        </row>
        <row r="4728">
          <cell r="AE4728" t="str">
            <v>04 - NO RENOVADA</v>
          </cell>
          <cell r="AP4728">
            <v>94188585</v>
          </cell>
        </row>
        <row r="4729">
          <cell r="AE4729" t="str">
            <v>03 - PENDIENTE</v>
          </cell>
          <cell r="AP4729">
            <v>1300212535</v>
          </cell>
        </row>
        <row r="4730">
          <cell r="AE4730" t="str">
            <v>05 - ANULADA EN VIGENCIA</v>
          </cell>
          <cell r="AP4730">
            <v>1300212537</v>
          </cell>
        </row>
        <row r="4731">
          <cell r="AE4731" t="str">
            <v>04 - NO RENOVADA</v>
          </cell>
          <cell r="AP4731">
            <v>1300041112</v>
          </cell>
        </row>
        <row r="4732">
          <cell r="AE4732" t="str">
            <v>04 - NO RENOVADA</v>
          </cell>
          <cell r="AP4732">
            <v>17192400</v>
          </cell>
        </row>
        <row r="4733">
          <cell r="AE4733" t="str">
            <v>02 - EN PROCESO</v>
          </cell>
          <cell r="AP4733">
            <v>600097943</v>
          </cell>
        </row>
        <row r="4734">
          <cell r="AE4734" t="str">
            <v>05 - ANULADA EN VIGENCIA</v>
          </cell>
          <cell r="AP4734">
            <v>1300179468</v>
          </cell>
        </row>
        <row r="4735">
          <cell r="AE4735" t="str">
            <v>07 - DEVUELTO A AON</v>
          </cell>
          <cell r="AP4735">
            <v>6101915100030</v>
          </cell>
        </row>
        <row r="4736">
          <cell r="AE4736" t="str">
            <v>07 - DEVUELTO A AON</v>
          </cell>
          <cell r="AP4736">
            <v>7012200014411</v>
          </cell>
        </row>
        <row r="4737">
          <cell r="AE4737" t="str">
            <v>07 - DEVUELTO A AON</v>
          </cell>
          <cell r="AP4737">
            <v>7022200016590</v>
          </cell>
        </row>
        <row r="4738">
          <cell r="AE4738" t="str">
            <v>05 - ANULADA EN VIGENCIA</v>
          </cell>
          <cell r="AP4738">
            <v>2007406952</v>
          </cell>
        </row>
        <row r="4739">
          <cell r="AE4739" t="str">
            <v>05 - ANULADA EN VIGENCIA</v>
          </cell>
          <cell r="AP4739">
            <v>2008783469</v>
          </cell>
        </row>
        <row r="4740">
          <cell r="AE4740" t="str">
            <v>05 - ANULADA EN VIGENCIA</v>
          </cell>
          <cell r="AP4740">
            <v>70174455</v>
          </cell>
        </row>
        <row r="4741">
          <cell r="AE4741" t="str">
            <v>01 - RENOVADA</v>
          </cell>
          <cell r="AP4741">
            <v>21345488</v>
          </cell>
        </row>
        <row r="4742">
          <cell r="AE4742" t="str">
            <v>01 - RENOVADA</v>
          </cell>
          <cell r="AP4742">
            <v>230204842</v>
          </cell>
        </row>
        <row r="4743">
          <cell r="AE4743" t="str">
            <v>03 - PENDIENTE</v>
          </cell>
          <cell r="AP4743">
            <v>97512</v>
          </cell>
        </row>
        <row r="4744">
          <cell r="AE4744" t="str">
            <v>01 - RENOVADA</v>
          </cell>
          <cell r="AP4744">
            <v>1300374121</v>
          </cell>
        </row>
        <row r="4745">
          <cell r="AE4745" t="str">
            <v>01 - RENOVADA</v>
          </cell>
          <cell r="AP4745" t="str">
            <v>E0020911</v>
          </cell>
        </row>
        <row r="4746">
          <cell r="AE4746" t="str">
            <v>05 - ANULADA EN VIGENCIA</v>
          </cell>
          <cell r="AP4746">
            <v>46064</v>
          </cell>
        </row>
        <row r="4747">
          <cell r="AE4747" t="str">
            <v>03 - PENDIENTE</v>
          </cell>
          <cell r="AP4747">
            <v>42139</v>
          </cell>
        </row>
        <row r="4748">
          <cell r="AE4748" t="str">
            <v>05 - ANULADA EN VIGENCIA</v>
          </cell>
          <cell r="AP4748">
            <v>1019821</v>
          </cell>
        </row>
        <row r="4749">
          <cell r="AE4749" t="str">
            <v>05 - ANULADA EN VIGENCIA</v>
          </cell>
          <cell r="AP4749">
            <v>1232158</v>
          </cell>
        </row>
        <row r="4750">
          <cell r="AE4750" t="str">
            <v>03 - PENDIENTE</v>
          </cell>
          <cell r="AP4750">
            <v>620100110</v>
          </cell>
        </row>
        <row r="4751">
          <cell r="AE4751" t="str">
            <v>03 - PENDIENTE</v>
          </cell>
          <cell r="AP4751">
            <v>1128439</v>
          </cell>
        </row>
        <row r="4752">
          <cell r="AE4752" t="str">
            <v>09 - PRORROGADA</v>
          </cell>
          <cell r="AP4752">
            <v>20478348</v>
          </cell>
        </row>
        <row r="4753">
          <cell r="AE4753" t="str">
            <v>01 - RENOVADA</v>
          </cell>
          <cell r="AP4753">
            <v>1300394983</v>
          </cell>
        </row>
        <row r="4754">
          <cell r="AE4754" t="str">
            <v>02 - EN PROCESO</v>
          </cell>
          <cell r="AP4754">
            <v>47194</v>
          </cell>
        </row>
        <row r="4755">
          <cell r="AE4755" t="str">
            <v>05 - ANULADA EN VIGENCIA</v>
          </cell>
          <cell r="AP4755">
            <v>82496254</v>
          </cell>
        </row>
        <row r="4756">
          <cell r="AE4756" t="str">
            <v>01 - RENOVADA</v>
          </cell>
          <cell r="AP4756">
            <v>601162506</v>
          </cell>
        </row>
        <row r="4757">
          <cell r="AE4757" t="str">
            <v>05 - ANULADA EN VIGENCIA</v>
          </cell>
          <cell r="AP4757">
            <v>2402315800284</v>
          </cell>
        </row>
        <row r="4758">
          <cell r="AE4758" t="str">
            <v>05 - ANULADA EN VIGENCIA</v>
          </cell>
          <cell r="AP4758">
            <v>2031659900120</v>
          </cell>
        </row>
        <row r="4759">
          <cell r="AE4759" t="str">
            <v>05 - ANULADA EN VIGENCIA</v>
          </cell>
          <cell r="AP4759">
            <v>20930</v>
          </cell>
        </row>
        <row r="4760">
          <cell r="AE4760" t="str">
            <v>05 - ANULADA EN VIGENCIA</v>
          </cell>
          <cell r="AP4760">
            <v>11079161</v>
          </cell>
        </row>
        <row r="4761">
          <cell r="AE4761" t="str">
            <v>08 - VIGENCIA ANTERIOR</v>
          </cell>
          <cell r="AP4761">
            <v>1244403</v>
          </cell>
        </row>
        <row r="4762">
          <cell r="AE4762" t="str">
            <v>01 - RENOVADA</v>
          </cell>
          <cell r="AP4762">
            <v>1509816</v>
          </cell>
        </row>
        <row r="4763">
          <cell r="AE4763" t="str">
            <v>01 - RENOVADA</v>
          </cell>
          <cell r="AP4763">
            <v>15881983</v>
          </cell>
        </row>
        <row r="4764">
          <cell r="AE4764" t="str">
            <v>01 - RENOVADA</v>
          </cell>
          <cell r="AP4764">
            <v>600002575</v>
          </cell>
        </row>
        <row r="4765">
          <cell r="AE4765" t="str">
            <v>03 - PENDIENTE</v>
          </cell>
          <cell r="AP4765">
            <v>20102592</v>
          </cell>
        </row>
        <row r="4766">
          <cell r="AE4766" t="str">
            <v>03 - PENDIENTE</v>
          </cell>
          <cell r="AP4766">
            <v>65598970</v>
          </cell>
        </row>
        <row r="4767">
          <cell r="AE4767" t="str">
            <v>04 - NO RENOVADA</v>
          </cell>
          <cell r="AP4767">
            <v>17338721</v>
          </cell>
        </row>
        <row r="4768">
          <cell r="AE4768" t="str">
            <v>05 - ANULADA EN VIGENCIA</v>
          </cell>
          <cell r="AP4768">
            <v>19197776</v>
          </cell>
        </row>
        <row r="4769">
          <cell r="AE4769" t="str">
            <v>05 - ANULADA EN VIGENCIA</v>
          </cell>
          <cell r="AP4769">
            <v>17524798</v>
          </cell>
        </row>
        <row r="4770">
          <cell r="AE4770" t="str">
            <v>04 - NO RENOVADA</v>
          </cell>
          <cell r="AP4770">
            <v>17179655</v>
          </cell>
        </row>
        <row r="4771">
          <cell r="AE4771" t="str">
            <v>04 - NO RENOVADA</v>
          </cell>
          <cell r="AP4771">
            <v>17110520</v>
          </cell>
        </row>
        <row r="4772">
          <cell r="AE4772" t="str">
            <v>01 - RENOVADA</v>
          </cell>
          <cell r="AP4772">
            <v>1300375548</v>
          </cell>
        </row>
        <row r="4773">
          <cell r="AE4773" t="str">
            <v>03 - PENDIENTE</v>
          </cell>
          <cell r="AP4773">
            <v>620102259</v>
          </cell>
        </row>
        <row r="4774">
          <cell r="AE4774" t="str">
            <v>04 - NO RENOVADA</v>
          </cell>
          <cell r="AP4774">
            <v>3022000439361</v>
          </cell>
        </row>
        <row r="4775">
          <cell r="AE4775" t="str">
            <v>04 - NO RENOVADA</v>
          </cell>
          <cell r="AP4775">
            <v>3022000439362</v>
          </cell>
        </row>
        <row r="4776">
          <cell r="AE4776" t="str">
            <v>04 - NO RENOVADA</v>
          </cell>
          <cell r="AP4776">
            <v>3022000439363</v>
          </cell>
        </row>
        <row r="4777">
          <cell r="AE4777" t="str">
            <v>04 - NO RENOVADA</v>
          </cell>
          <cell r="AP4777">
            <v>3022000439364</v>
          </cell>
        </row>
        <row r="4778">
          <cell r="AE4778" t="str">
            <v>04 - NO RENOVADA</v>
          </cell>
          <cell r="AP4778">
            <v>3022000439366</v>
          </cell>
        </row>
        <row r="4779">
          <cell r="AE4779" t="str">
            <v>04 - NO RENOVADA</v>
          </cell>
          <cell r="AP4779">
            <v>3022000439367</v>
          </cell>
        </row>
        <row r="4780">
          <cell r="AE4780" t="str">
            <v>04 - NO RENOVADA</v>
          </cell>
          <cell r="AP4780">
            <v>3022000439368</v>
          </cell>
        </row>
        <row r="4781">
          <cell r="AE4781" t="str">
            <v>04 - NO RENOVADA</v>
          </cell>
          <cell r="AP4781">
            <v>3022000439369</v>
          </cell>
        </row>
        <row r="4782">
          <cell r="AE4782" t="str">
            <v>04 - NO RENOVADA</v>
          </cell>
          <cell r="AP4782">
            <v>3022000439370</v>
          </cell>
        </row>
        <row r="4783">
          <cell r="AE4783" t="str">
            <v>04 - NO RENOVADA</v>
          </cell>
          <cell r="AP4783">
            <v>3022000439371</v>
          </cell>
        </row>
        <row r="4784">
          <cell r="AE4784" t="str">
            <v>04 - NO RENOVADA</v>
          </cell>
          <cell r="AP4784">
            <v>3022000439372</v>
          </cell>
        </row>
        <row r="4785">
          <cell r="AE4785" t="str">
            <v>04 - NO RENOVADA</v>
          </cell>
          <cell r="AP4785">
            <v>3022000439373</v>
          </cell>
        </row>
        <row r="4786">
          <cell r="AE4786" t="str">
            <v>04 - NO RENOVADA</v>
          </cell>
          <cell r="AP4786">
            <v>3022000439374</v>
          </cell>
        </row>
        <row r="4787">
          <cell r="AE4787" t="str">
            <v>04 - NO RENOVADA</v>
          </cell>
          <cell r="AP4787">
            <v>3022000439375</v>
          </cell>
        </row>
        <row r="4788">
          <cell r="AE4788" t="str">
            <v>04 - NO RENOVADA</v>
          </cell>
          <cell r="AP4788">
            <v>3022000439376</v>
          </cell>
        </row>
        <row r="4789">
          <cell r="AE4789" t="str">
            <v>04 - NO RENOVADA</v>
          </cell>
          <cell r="AP4789">
            <v>3022000439377</v>
          </cell>
        </row>
        <row r="4790">
          <cell r="AE4790" t="str">
            <v>04 - NO RENOVADA</v>
          </cell>
          <cell r="AP4790">
            <v>3022000439378</v>
          </cell>
        </row>
        <row r="4791">
          <cell r="AE4791" t="str">
            <v>04 - NO RENOVADA</v>
          </cell>
          <cell r="AP4791">
            <v>3022000439379</v>
          </cell>
        </row>
        <row r="4792">
          <cell r="AE4792" t="str">
            <v>04 - NO RENOVADA</v>
          </cell>
          <cell r="AP4792">
            <v>3022000439380</v>
          </cell>
        </row>
        <row r="4793">
          <cell r="AE4793" t="str">
            <v>01 - RENOVADA</v>
          </cell>
          <cell r="AP4793">
            <v>18044478</v>
          </cell>
        </row>
        <row r="4794">
          <cell r="AE4794" t="str">
            <v>03 - PENDIENTE</v>
          </cell>
          <cell r="AP4794">
            <v>11818833</v>
          </cell>
        </row>
        <row r="4795">
          <cell r="AE4795" t="str">
            <v>01 - RENOVADA</v>
          </cell>
          <cell r="AP4795">
            <v>1300374568</v>
          </cell>
        </row>
        <row r="4796">
          <cell r="AE4796" t="str">
            <v>07 - DEVUELTO A AON</v>
          </cell>
          <cell r="AP4796">
            <v>1319397</v>
          </cell>
        </row>
        <row r="4797">
          <cell r="AE4797" t="str">
            <v>07 - DEVUELTO A AON</v>
          </cell>
          <cell r="AP4797">
            <v>221302052</v>
          </cell>
        </row>
        <row r="4798">
          <cell r="AE4798" t="str">
            <v>07 - DEVUELTO A AON</v>
          </cell>
          <cell r="AP4798">
            <v>222300048</v>
          </cell>
        </row>
        <row r="4799">
          <cell r="AE4799" t="str">
            <v>07 - DEVUELTO A AON</v>
          </cell>
          <cell r="AP4799">
            <v>6101915100029</v>
          </cell>
        </row>
        <row r="4800">
          <cell r="AE4800" t="str">
            <v>07 - DEVUELTO A AON</v>
          </cell>
          <cell r="AP4800">
            <v>7011900009912</v>
          </cell>
        </row>
        <row r="4801">
          <cell r="AE4801" t="str">
            <v>07 - DEVUELTO A AON</v>
          </cell>
          <cell r="AP4801">
            <v>7021900011669</v>
          </cell>
        </row>
        <row r="4802">
          <cell r="AE4802" t="str">
            <v>05 - ANULADA EN VIGENCIA</v>
          </cell>
          <cell r="AP4802">
            <v>1000143085</v>
          </cell>
        </row>
        <row r="4803">
          <cell r="AE4803" t="str">
            <v>05 - ANULADA EN VIGENCIA</v>
          </cell>
          <cell r="AP4803">
            <v>530166</v>
          </cell>
        </row>
        <row r="4804">
          <cell r="AE4804" t="str">
            <v>02 - EN PROCESO</v>
          </cell>
          <cell r="AP4804">
            <v>79795</v>
          </cell>
        </row>
        <row r="4805">
          <cell r="AE4805" t="str">
            <v>05 - ANULADA EN VIGENCIA</v>
          </cell>
          <cell r="AP4805">
            <v>70210536</v>
          </cell>
        </row>
        <row r="4806">
          <cell r="AE4806" t="str">
            <v>04 - NO RENOVADA</v>
          </cell>
          <cell r="AP4806">
            <v>3022200250477</v>
          </cell>
        </row>
        <row r="4807">
          <cell r="AE4807" t="str">
            <v>04 - NO RENOVADA</v>
          </cell>
          <cell r="AP4807">
            <v>3022200250502</v>
          </cell>
        </row>
        <row r="4808">
          <cell r="AE4808" t="str">
            <v>04 - NO RENOVADA</v>
          </cell>
          <cell r="AP4808">
            <v>2008807786</v>
          </cell>
        </row>
        <row r="4809">
          <cell r="AE4809" t="str">
            <v>05 - ANULADA EN VIGENCIA</v>
          </cell>
          <cell r="AP4809">
            <v>70189688</v>
          </cell>
        </row>
        <row r="4810">
          <cell r="AE4810" t="str">
            <v>01 - RENOVADA</v>
          </cell>
          <cell r="AP4810">
            <v>2010774419</v>
          </cell>
        </row>
        <row r="4811">
          <cell r="AE4811" t="str">
            <v>01 - RENOVADA</v>
          </cell>
          <cell r="AP4811">
            <v>220017664</v>
          </cell>
        </row>
        <row r="4812">
          <cell r="AE4812" t="str">
            <v>05 - ANULADA EN VIGENCIA</v>
          </cell>
          <cell r="AP4812">
            <v>104021</v>
          </cell>
        </row>
        <row r="4813">
          <cell r="AE4813" t="str">
            <v>05 - ANULADA EN VIGENCIA</v>
          </cell>
          <cell r="AP4813">
            <v>67289811</v>
          </cell>
        </row>
        <row r="4814">
          <cell r="AE4814" t="str">
            <v>05 - ANULADA EN VIGENCIA</v>
          </cell>
          <cell r="AP4814" t="str">
            <v>E0004449</v>
          </cell>
        </row>
        <row r="4815">
          <cell r="AE4815" t="str">
            <v>05 - ANULADA EN VIGENCIA</v>
          </cell>
          <cell r="AP4815">
            <v>45402</v>
          </cell>
        </row>
        <row r="4816">
          <cell r="AE4816" t="str">
            <v>01 - RENOVADA</v>
          </cell>
          <cell r="AP4816">
            <v>131207</v>
          </cell>
        </row>
        <row r="4817">
          <cell r="AE4817" t="str">
            <v>05 - ANULADA EN VIGENCIA</v>
          </cell>
          <cell r="AP4817">
            <v>17885367</v>
          </cell>
        </row>
        <row r="4818">
          <cell r="AE4818" t="str">
            <v>05 - ANULADA EN VIGENCIA</v>
          </cell>
          <cell r="AP4818">
            <v>42278</v>
          </cell>
        </row>
        <row r="4819">
          <cell r="AE4819" t="str">
            <v>05 - ANULADA EN VIGENCIA</v>
          </cell>
          <cell r="AP4819" t="str">
            <v>E0023414</v>
          </cell>
        </row>
        <row r="4820">
          <cell r="AE4820" t="str">
            <v>05 - ANULADA EN VIGENCIA</v>
          </cell>
          <cell r="AP4820">
            <v>7012100102451</v>
          </cell>
        </row>
        <row r="4821">
          <cell r="AE4821" t="str">
            <v>05 - ANULADA EN VIGENCIA</v>
          </cell>
          <cell r="AP4821">
            <v>7022100119764</v>
          </cell>
        </row>
        <row r="4822">
          <cell r="AE4822" t="str">
            <v>05 - ANULADA EN VIGENCIA</v>
          </cell>
          <cell r="AP4822">
            <v>612030198</v>
          </cell>
        </row>
        <row r="4823">
          <cell r="AE4823" t="str">
            <v>03 - PENDIENTE</v>
          </cell>
          <cell r="AP4823">
            <v>67288266</v>
          </cell>
        </row>
        <row r="4824">
          <cell r="AE4824" t="str">
            <v>01 - RENOVADA</v>
          </cell>
          <cell r="AP4824" t="str">
            <v>E0004928</v>
          </cell>
        </row>
        <row r="4825">
          <cell r="AE4825" t="str">
            <v>04 - NO RENOVADA</v>
          </cell>
          <cell r="AP4825">
            <v>45381</v>
          </cell>
        </row>
        <row r="4826">
          <cell r="AE4826" t="str">
            <v>02 - EN PROCESO</v>
          </cell>
          <cell r="AP4826">
            <v>47903</v>
          </cell>
        </row>
        <row r="4827">
          <cell r="AE4827" t="str">
            <v>03 - PENDIENTE</v>
          </cell>
          <cell r="AP4827">
            <v>504487</v>
          </cell>
        </row>
        <row r="4828">
          <cell r="AE4828" t="str">
            <v>05 - ANULADA EN VIGENCIA</v>
          </cell>
          <cell r="AP4828" t="str">
            <v>E0029590</v>
          </cell>
        </row>
        <row r="4829">
          <cell r="AE4829" t="str">
            <v>01 - RENOVADA</v>
          </cell>
          <cell r="AP4829" t="str">
            <v>E0038653</v>
          </cell>
        </row>
        <row r="4830">
          <cell r="AE4830" t="str">
            <v>01 - RENOVADA</v>
          </cell>
          <cell r="AP4830">
            <v>47900</v>
          </cell>
        </row>
        <row r="4831">
          <cell r="AE4831" t="str">
            <v>04 - NO RENOVADA</v>
          </cell>
          <cell r="AP4831">
            <v>1300026003</v>
          </cell>
        </row>
        <row r="4832">
          <cell r="AE4832" t="str">
            <v>01 - RENOVADA</v>
          </cell>
          <cell r="AP4832">
            <v>1300364536</v>
          </cell>
        </row>
        <row r="4833">
          <cell r="AE4833" t="str">
            <v>07 - DEVUELTO A AON</v>
          </cell>
          <cell r="AP4833">
            <v>74916484</v>
          </cell>
        </row>
        <row r="4834">
          <cell r="AE4834" t="str">
            <v>07 - DEVUELTO A AON</v>
          </cell>
          <cell r="AP4834">
            <v>74916500</v>
          </cell>
        </row>
        <row r="4835">
          <cell r="AE4835" t="str">
            <v>07 - DEVUELTO A AON</v>
          </cell>
          <cell r="AP4835">
            <v>74916508</v>
          </cell>
        </row>
        <row r="4836">
          <cell r="AE4836" t="str">
            <v>07 - DEVUELTO A AON</v>
          </cell>
          <cell r="AP4836">
            <v>506372</v>
          </cell>
        </row>
        <row r="4837">
          <cell r="AE4837" t="str">
            <v>07 - DEVUELTO A AON</v>
          </cell>
          <cell r="AP4837">
            <v>1353519</v>
          </cell>
        </row>
        <row r="4838">
          <cell r="AE4838" t="str">
            <v>05 - ANULADA EN VIGENCIA</v>
          </cell>
          <cell r="AP4838">
            <v>15789925</v>
          </cell>
        </row>
        <row r="4839">
          <cell r="AE4839" t="str">
            <v>05 - ANULADA EN VIGENCIA</v>
          </cell>
          <cell r="AP4839">
            <v>15882078</v>
          </cell>
        </row>
        <row r="4840">
          <cell r="AE4840" t="str">
            <v>04 - NO RENOVADA</v>
          </cell>
          <cell r="AP4840">
            <v>70587</v>
          </cell>
        </row>
        <row r="4841">
          <cell r="AE4841" t="str">
            <v>04 - NO RENOVADA</v>
          </cell>
          <cell r="AP4841">
            <v>220026905</v>
          </cell>
        </row>
        <row r="4842">
          <cell r="AE4842" t="str">
            <v>02 - EN PROCESO</v>
          </cell>
          <cell r="AP4842">
            <v>16975449</v>
          </cell>
        </row>
        <row r="4843">
          <cell r="AE4843" t="str">
            <v>03 - PENDIENTE</v>
          </cell>
          <cell r="AP4843">
            <v>62038970</v>
          </cell>
        </row>
        <row r="4844">
          <cell r="AE4844" t="str">
            <v>03 - PENDIENTE</v>
          </cell>
          <cell r="AP4844">
            <v>63344</v>
          </cell>
        </row>
        <row r="4845">
          <cell r="AE4845" t="str">
            <v>03 - PENDIENTE</v>
          </cell>
          <cell r="AP4845">
            <v>93965515</v>
          </cell>
        </row>
        <row r="4846">
          <cell r="AE4846" t="str">
            <v>02 - EN PROCESO</v>
          </cell>
          <cell r="AP4846">
            <v>10704573</v>
          </cell>
        </row>
        <row r="4847">
          <cell r="AE4847" t="str">
            <v>04 - NO RENOVADA</v>
          </cell>
          <cell r="AP4847">
            <v>49742</v>
          </cell>
        </row>
        <row r="4848">
          <cell r="AE4848" t="str">
            <v>04 - NO RENOVADA</v>
          </cell>
          <cell r="AP4848">
            <v>49743</v>
          </cell>
        </row>
        <row r="4849">
          <cell r="AE4849" t="str">
            <v>04 - NO RENOVADA</v>
          </cell>
          <cell r="AP4849">
            <v>70571</v>
          </cell>
        </row>
        <row r="4850">
          <cell r="AE4850" t="str">
            <v>04 - NO RENOVADA</v>
          </cell>
          <cell r="AP4850">
            <v>97423</v>
          </cell>
        </row>
        <row r="4851">
          <cell r="AE4851" t="str">
            <v>05 - ANULADA EN VIGENCIA</v>
          </cell>
          <cell r="AP4851">
            <v>16752945</v>
          </cell>
        </row>
        <row r="4852">
          <cell r="AE4852" t="str">
            <v>04 - NO RENOVADA</v>
          </cell>
          <cell r="AP4852">
            <v>62070575</v>
          </cell>
        </row>
        <row r="4853">
          <cell r="AE4853" t="str">
            <v>04 - NO RENOVADA</v>
          </cell>
          <cell r="AP4853">
            <v>63338</v>
          </cell>
        </row>
        <row r="4854">
          <cell r="AE4854" t="str">
            <v>05 - ANULADA EN VIGENCIA</v>
          </cell>
          <cell r="AP4854">
            <v>20757</v>
          </cell>
        </row>
        <row r="4855">
          <cell r="AE4855" t="str">
            <v>04 - NO RENOVADA</v>
          </cell>
          <cell r="AP4855">
            <v>62038959</v>
          </cell>
        </row>
        <row r="4856">
          <cell r="AE4856" t="str">
            <v>05 - ANULADA EN VIGENCIA</v>
          </cell>
          <cell r="AP4856">
            <v>16428831</v>
          </cell>
        </row>
        <row r="4857">
          <cell r="AE4857" t="str">
            <v>04 - NO RENOVADA</v>
          </cell>
          <cell r="AP4857">
            <v>49740</v>
          </cell>
        </row>
        <row r="4858">
          <cell r="AE4858" t="str">
            <v>05 - ANULADA EN VIGENCIA</v>
          </cell>
          <cell r="AP4858">
            <v>113181</v>
          </cell>
        </row>
        <row r="4859">
          <cell r="AE4859" t="str">
            <v>05 - ANULADA EN VIGENCIA</v>
          </cell>
          <cell r="AP4859">
            <v>62086497</v>
          </cell>
        </row>
        <row r="4860">
          <cell r="AE4860" t="str">
            <v>05 - ANULADA EN VIGENCIA</v>
          </cell>
          <cell r="AP4860">
            <v>2007935987</v>
          </cell>
        </row>
        <row r="4861">
          <cell r="AE4861" t="str">
            <v>05 - ANULADA EN VIGENCIA</v>
          </cell>
          <cell r="AP4861">
            <v>2008551983</v>
          </cell>
        </row>
        <row r="4862">
          <cell r="AE4862" t="str">
            <v>05 - ANULADA EN VIGENCIA</v>
          </cell>
          <cell r="AP4862">
            <v>2007990906</v>
          </cell>
        </row>
        <row r="4863">
          <cell r="AE4863" t="str">
            <v>05 - ANULADA EN VIGENCIA</v>
          </cell>
          <cell r="AP4863">
            <v>2007990912</v>
          </cell>
        </row>
        <row r="4864">
          <cell r="AE4864" t="str">
            <v>05 - ANULADA EN VIGENCIA</v>
          </cell>
          <cell r="AP4864">
            <v>1007603654</v>
          </cell>
        </row>
        <row r="4865">
          <cell r="AE4865" t="str">
            <v>05 - ANULADA EN VIGENCIA</v>
          </cell>
          <cell r="AP4865">
            <v>2008098348</v>
          </cell>
        </row>
        <row r="4866">
          <cell r="AE4866" t="str">
            <v>05 - ANULADA EN VIGENCIA</v>
          </cell>
          <cell r="AP4866">
            <v>2008161584</v>
          </cell>
        </row>
        <row r="4867">
          <cell r="AE4867" t="str">
            <v>05 - ANULADA EN VIGENCIA</v>
          </cell>
          <cell r="AP4867">
            <v>2008161585</v>
          </cell>
        </row>
        <row r="4868">
          <cell r="AE4868" t="str">
            <v>05 - ANULADA EN VIGENCIA</v>
          </cell>
          <cell r="AP4868">
            <v>2008161591</v>
          </cell>
        </row>
        <row r="4869">
          <cell r="AE4869" t="str">
            <v>05 - ANULADA EN VIGENCIA</v>
          </cell>
          <cell r="AP4869">
            <v>2008253618</v>
          </cell>
        </row>
        <row r="4870">
          <cell r="AE4870" t="str">
            <v>05 - ANULADA EN VIGENCIA</v>
          </cell>
          <cell r="AP4870">
            <v>2008381374</v>
          </cell>
        </row>
        <row r="4871">
          <cell r="AE4871" t="str">
            <v>05 - ANULADA EN VIGENCIA</v>
          </cell>
          <cell r="AP4871">
            <v>2008381378</v>
          </cell>
        </row>
        <row r="4872">
          <cell r="AE4872" t="str">
            <v>05 - ANULADA EN VIGENCIA</v>
          </cell>
          <cell r="AP4872">
            <v>3022200177383</v>
          </cell>
        </row>
        <row r="4873">
          <cell r="AE4873" t="str">
            <v>05 - ANULADA EN VIGENCIA</v>
          </cell>
          <cell r="AP4873">
            <v>3022200177390</v>
          </cell>
        </row>
        <row r="4874">
          <cell r="AE4874" t="str">
            <v>05 - ANULADA EN VIGENCIA</v>
          </cell>
          <cell r="AP4874">
            <v>2008483015</v>
          </cell>
        </row>
        <row r="4875">
          <cell r="AE4875" t="str">
            <v>05 - ANULADA EN VIGENCIA</v>
          </cell>
          <cell r="AP4875">
            <v>2008483039</v>
          </cell>
        </row>
        <row r="4876">
          <cell r="AE4876" t="str">
            <v>05 - ANULADA EN VIGENCIA</v>
          </cell>
          <cell r="AP4876">
            <v>2008551674</v>
          </cell>
        </row>
        <row r="4877">
          <cell r="AE4877" t="str">
            <v>05 - ANULADA EN VIGENCIA</v>
          </cell>
          <cell r="AP4877">
            <v>2007143816</v>
          </cell>
        </row>
        <row r="4878">
          <cell r="AE4878" t="str">
            <v>05 - ANULADA EN VIGENCIA</v>
          </cell>
          <cell r="AP4878">
            <v>2008560580</v>
          </cell>
        </row>
        <row r="4879">
          <cell r="AE4879" t="str">
            <v>05 - ANULADA EN VIGENCIA</v>
          </cell>
          <cell r="AP4879">
            <v>2008968949</v>
          </cell>
        </row>
        <row r="4880">
          <cell r="AE4880" t="str">
            <v>05 - ANULADA EN VIGENCIA</v>
          </cell>
          <cell r="AP4880">
            <v>2008968958</v>
          </cell>
        </row>
        <row r="4881">
          <cell r="AE4881" t="str">
            <v>05 - ANULADA EN VIGENCIA</v>
          </cell>
          <cell r="AP4881">
            <v>2008578882</v>
          </cell>
        </row>
        <row r="4882">
          <cell r="AE4882" t="str">
            <v>05 - ANULADA EN VIGENCIA</v>
          </cell>
          <cell r="AP4882">
            <v>2008578884</v>
          </cell>
        </row>
        <row r="4883">
          <cell r="AE4883" t="str">
            <v>05 - ANULADA EN VIGENCIA</v>
          </cell>
          <cell r="AP4883">
            <v>2008618844</v>
          </cell>
        </row>
        <row r="4884">
          <cell r="AE4884" t="str">
            <v>05 - ANULADA EN VIGENCIA</v>
          </cell>
          <cell r="AP4884">
            <v>2008622979</v>
          </cell>
        </row>
        <row r="4885">
          <cell r="AE4885" t="str">
            <v>05 - ANULADA EN VIGENCIA</v>
          </cell>
          <cell r="AP4885">
            <v>2008630070</v>
          </cell>
        </row>
        <row r="4886">
          <cell r="AE4886" t="str">
            <v>05 - ANULADA EN VIGENCIA</v>
          </cell>
          <cell r="AP4886">
            <v>2008630078</v>
          </cell>
        </row>
        <row r="4887">
          <cell r="AE4887" t="str">
            <v>05 - ANULADA EN VIGENCIA</v>
          </cell>
          <cell r="AP4887">
            <v>2008618855</v>
          </cell>
        </row>
        <row r="4888">
          <cell r="AE4888" t="str">
            <v>05 - ANULADA EN VIGENCIA</v>
          </cell>
          <cell r="AP4888">
            <v>2007215529</v>
          </cell>
        </row>
        <row r="4889">
          <cell r="AE4889" t="str">
            <v>05 - ANULADA EN VIGENCIA</v>
          </cell>
          <cell r="AP4889">
            <v>2007215534</v>
          </cell>
        </row>
        <row r="4890">
          <cell r="AE4890" t="str">
            <v>05 - ANULADA EN VIGENCIA</v>
          </cell>
          <cell r="AP4890">
            <v>2202315800032</v>
          </cell>
        </row>
        <row r="4891">
          <cell r="AE4891" t="str">
            <v>05 - ANULADA EN VIGENCIA</v>
          </cell>
          <cell r="AP4891">
            <v>2402315800183</v>
          </cell>
        </row>
        <row r="4892">
          <cell r="AE4892" t="str">
            <v>05 - ANULADA EN VIGENCIA</v>
          </cell>
          <cell r="AP4892">
            <v>2008803336</v>
          </cell>
        </row>
        <row r="4893">
          <cell r="AE4893" t="str">
            <v>05 - ANULADA EN VIGENCIA</v>
          </cell>
          <cell r="AP4893">
            <v>2008968928</v>
          </cell>
        </row>
        <row r="4894">
          <cell r="AE4894" t="str">
            <v>05 - ANULADA EN VIGENCIA</v>
          </cell>
          <cell r="AP4894">
            <v>2008968969</v>
          </cell>
        </row>
        <row r="4895">
          <cell r="AE4895" t="str">
            <v>05 - ANULADA EN VIGENCIA</v>
          </cell>
          <cell r="AP4895">
            <v>2007320640</v>
          </cell>
        </row>
        <row r="4896">
          <cell r="AE4896" t="str">
            <v>05 - ANULADA EN VIGENCIA</v>
          </cell>
          <cell r="AP4896">
            <v>2007320642</v>
          </cell>
        </row>
        <row r="4897">
          <cell r="AE4897" t="str">
            <v>05 - ANULADA EN VIGENCIA</v>
          </cell>
          <cell r="AP4897">
            <v>2007320645</v>
          </cell>
        </row>
        <row r="4898">
          <cell r="AE4898" t="str">
            <v>05 - ANULADA EN VIGENCIA</v>
          </cell>
          <cell r="AP4898">
            <v>2007320648</v>
          </cell>
        </row>
        <row r="4899">
          <cell r="AE4899" t="str">
            <v>05 - ANULADA EN VIGENCIA</v>
          </cell>
          <cell r="AP4899">
            <v>2007320651</v>
          </cell>
        </row>
        <row r="4900">
          <cell r="AE4900" t="str">
            <v>05 - ANULADA EN VIGENCIA</v>
          </cell>
          <cell r="AP4900">
            <v>2007320655</v>
          </cell>
        </row>
        <row r="4901">
          <cell r="AE4901" t="str">
            <v>05 - ANULADA EN VIGENCIA</v>
          </cell>
          <cell r="AP4901">
            <v>2007320657</v>
          </cell>
        </row>
        <row r="4902">
          <cell r="AE4902" t="str">
            <v>05 - ANULADA EN VIGENCIA</v>
          </cell>
          <cell r="AP4902">
            <v>2007350380</v>
          </cell>
        </row>
        <row r="4903">
          <cell r="AE4903" t="str">
            <v>05 - ANULADA EN VIGENCIA</v>
          </cell>
          <cell r="AP4903">
            <v>2007378022</v>
          </cell>
        </row>
        <row r="4904">
          <cell r="AE4904" t="str">
            <v>05 - ANULADA EN VIGENCIA</v>
          </cell>
          <cell r="AP4904">
            <v>2007378032</v>
          </cell>
        </row>
        <row r="4905">
          <cell r="AE4905" t="str">
            <v>05 - ANULADA EN VIGENCIA</v>
          </cell>
          <cell r="AP4905">
            <v>2007391416</v>
          </cell>
        </row>
        <row r="4906">
          <cell r="AE4906" t="str">
            <v>05 - ANULADA EN VIGENCIA</v>
          </cell>
          <cell r="AP4906">
            <v>2008803339</v>
          </cell>
        </row>
        <row r="4907">
          <cell r="AE4907" t="str">
            <v>05 - ANULADA EN VIGENCIA</v>
          </cell>
          <cell r="AP4907">
            <v>2008803340</v>
          </cell>
        </row>
        <row r="4908">
          <cell r="AE4908" t="str">
            <v>05 - ANULADA EN VIGENCIA</v>
          </cell>
          <cell r="AP4908">
            <v>2008803343</v>
          </cell>
        </row>
        <row r="4909">
          <cell r="AE4909" t="str">
            <v>05 - ANULADA EN VIGENCIA</v>
          </cell>
          <cell r="AP4909">
            <v>2008803348</v>
          </cell>
        </row>
        <row r="4910">
          <cell r="AE4910" t="str">
            <v>05 - ANULADA EN VIGENCIA</v>
          </cell>
          <cell r="AP4910">
            <v>2008803353</v>
          </cell>
        </row>
        <row r="4911">
          <cell r="AE4911" t="str">
            <v>05 - ANULADA EN VIGENCIA</v>
          </cell>
          <cell r="AP4911">
            <v>2008803354</v>
          </cell>
        </row>
        <row r="4912">
          <cell r="AE4912" t="str">
            <v>05 - ANULADA EN VIGENCIA</v>
          </cell>
          <cell r="AP4912">
            <v>2008803357</v>
          </cell>
        </row>
        <row r="4913">
          <cell r="AE4913" t="str">
            <v>05 - ANULADA EN VIGENCIA</v>
          </cell>
          <cell r="AP4913">
            <v>2008968939</v>
          </cell>
        </row>
        <row r="4914">
          <cell r="AE4914" t="str">
            <v>05 - ANULADA EN VIGENCIA</v>
          </cell>
          <cell r="AP4914">
            <v>2008968966</v>
          </cell>
        </row>
        <row r="4915">
          <cell r="AE4915" t="str">
            <v>05 - ANULADA EN VIGENCIA</v>
          </cell>
          <cell r="AP4915">
            <v>2008913154</v>
          </cell>
        </row>
        <row r="4916">
          <cell r="AE4916" t="str">
            <v>05 - ANULADA EN VIGENCIA</v>
          </cell>
          <cell r="AP4916">
            <v>2007500917</v>
          </cell>
        </row>
        <row r="4917">
          <cell r="AE4917" t="str">
            <v>05 - ANULADA EN VIGENCIA</v>
          </cell>
          <cell r="AP4917">
            <v>70111449</v>
          </cell>
        </row>
        <row r="4918">
          <cell r="AE4918" t="str">
            <v>05 - ANULADA EN VIGENCIA</v>
          </cell>
          <cell r="AP4918">
            <v>2009005689</v>
          </cell>
        </row>
        <row r="4919">
          <cell r="AE4919" t="str">
            <v>05 - ANULADA EN VIGENCIA</v>
          </cell>
          <cell r="AP4919">
            <v>2009063992</v>
          </cell>
        </row>
        <row r="4920">
          <cell r="AE4920" t="str">
            <v>05 - ANULADA EN VIGENCIA</v>
          </cell>
          <cell r="AP4920">
            <v>2007585654</v>
          </cell>
        </row>
        <row r="4921">
          <cell r="AE4921" t="str">
            <v>05 - ANULADA EN VIGENCIA</v>
          </cell>
          <cell r="AP4921">
            <v>2007585649</v>
          </cell>
        </row>
        <row r="4922">
          <cell r="AE4922" t="str">
            <v>05 - ANULADA EN VIGENCIA</v>
          </cell>
          <cell r="AP4922">
            <v>2007585651</v>
          </cell>
        </row>
        <row r="4923">
          <cell r="AE4923" t="str">
            <v>05 - ANULADA EN VIGENCIA</v>
          </cell>
          <cell r="AP4923">
            <v>2007644343</v>
          </cell>
        </row>
        <row r="4924">
          <cell r="AE4924" t="str">
            <v>05 - ANULADA EN VIGENCIA</v>
          </cell>
          <cell r="AP4924">
            <v>2009076493</v>
          </cell>
        </row>
        <row r="4925">
          <cell r="AE4925" t="str">
            <v>05 - ANULADA EN VIGENCIA</v>
          </cell>
          <cell r="AP4925">
            <v>2009076494</v>
          </cell>
        </row>
        <row r="4926">
          <cell r="AE4926" t="str">
            <v>05 - ANULADA EN VIGENCIA</v>
          </cell>
          <cell r="AP4926">
            <v>2009087279</v>
          </cell>
        </row>
        <row r="4927">
          <cell r="AE4927" t="str">
            <v>05 - ANULADA EN VIGENCIA</v>
          </cell>
          <cell r="AP4927">
            <v>2009101705</v>
          </cell>
        </row>
        <row r="4928">
          <cell r="AE4928" t="str">
            <v>05 - ANULADA EN VIGENCIA</v>
          </cell>
          <cell r="AP4928">
            <v>2009136534</v>
          </cell>
        </row>
        <row r="4929">
          <cell r="AE4929" t="str">
            <v>05 - ANULADA EN VIGENCIA</v>
          </cell>
          <cell r="AP4929">
            <v>2009130339</v>
          </cell>
        </row>
        <row r="4930">
          <cell r="AE4930" t="str">
            <v>05 - ANULADA EN VIGENCIA</v>
          </cell>
          <cell r="AP4930">
            <v>2009130344</v>
          </cell>
        </row>
        <row r="4931">
          <cell r="AE4931" t="str">
            <v>05 - ANULADA EN VIGENCIA</v>
          </cell>
          <cell r="AP4931">
            <v>2009164612</v>
          </cell>
        </row>
        <row r="4932">
          <cell r="AE4932" t="str">
            <v>05 - ANULADA EN VIGENCIA</v>
          </cell>
          <cell r="AP4932">
            <v>2007833392</v>
          </cell>
        </row>
        <row r="4933">
          <cell r="AE4933" t="str">
            <v>05 - ANULADA EN VIGENCIA</v>
          </cell>
          <cell r="AP4933">
            <v>2007749573</v>
          </cell>
        </row>
        <row r="4934">
          <cell r="AE4934" t="str">
            <v>05 - ANULADA EN VIGENCIA</v>
          </cell>
          <cell r="AP4934">
            <v>2007754705</v>
          </cell>
        </row>
        <row r="4935">
          <cell r="AE4935" t="str">
            <v>05 - ANULADA EN VIGENCIA</v>
          </cell>
          <cell r="AP4935">
            <v>2007754708</v>
          </cell>
        </row>
        <row r="4936">
          <cell r="AE4936" t="str">
            <v>05 - ANULADA EN VIGENCIA</v>
          </cell>
          <cell r="AP4936">
            <v>2007754710</v>
          </cell>
        </row>
        <row r="4937">
          <cell r="AE4937" t="str">
            <v>05 - ANULADA EN VIGENCIA</v>
          </cell>
          <cell r="AP4937">
            <v>2007786547</v>
          </cell>
        </row>
        <row r="4938">
          <cell r="AE4938" t="str">
            <v>05 - ANULADA EN VIGENCIA</v>
          </cell>
          <cell r="AP4938">
            <v>2009255918</v>
          </cell>
        </row>
        <row r="4939">
          <cell r="AE4939" t="str">
            <v>05 - ANULADA EN VIGENCIA</v>
          </cell>
          <cell r="AP4939">
            <v>2009255925</v>
          </cell>
        </row>
        <row r="4940">
          <cell r="AE4940" t="str">
            <v>05 - ANULADA EN VIGENCIA</v>
          </cell>
          <cell r="AP4940">
            <v>2009249558</v>
          </cell>
        </row>
        <row r="4941">
          <cell r="AE4941" t="str">
            <v>05 - ANULADA EN VIGENCIA</v>
          </cell>
          <cell r="AP4941">
            <v>2009296819</v>
          </cell>
        </row>
        <row r="4942">
          <cell r="AE4942" t="str">
            <v>05 - ANULADA EN VIGENCIA</v>
          </cell>
          <cell r="AP4942">
            <v>2009296824</v>
          </cell>
        </row>
        <row r="4943">
          <cell r="AE4943" t="str">
            <v>05 - ANULADA EN VIGENCIA</v>
          </cell>
          <cell r="AP4943">
            <v>2009296831</v>
          </cell>
        </row>
        <row r="4944">
          <cell r="AE4944" t="str">
            <v>05 - ANULADA EN VIGENCIA</v>
          </cell>
          <cell r="AP4944">
            <v>2009309945</v>
          </cell>
        </row>
        <row r="4945">
          <cell r="AE4945" t="str">
            <v>05 - ANULADA EN VIGENCIA</v>
          </cell>
          <cell r="AP4945">
            <v>2007833388</v>
          </cell>
        </row>
        <row r="4946">
          <cell r="AE4946" t="str">
            <v>05 - ANULADA EN VIGENCIA</v>
          </cell>
          <cell r="AP4946">
            <v>2007833381</v>
          </cell>
        </row>
        <row r="4947">
          <cell r="AE4947" t="str">
            <v>05 - ANULADA EN VIGENCIA</v>
          </cell>
          <cell r="AP4947">
            <v>2009360391</v>
          </cell>
        </row>
        <row r="4948">
          <cell r="AE4948" t="str">
            <v>05 - ANULADA EN VIGENCIA</v>
          </cell>
          <cell r="AP4948">
            <v>2009360396</v>
          </cell>
        </row>
        <row r="4949">
          <cell r="AE4949" t="str">
            <v>05 - ANULADA EN VIGENCIA</v>
          </cell>
          <cell r="AP4949">
            <v>13490</v>
          </cell>
        </row>
        <row r="4950">
          <cell r="AE4950" t="str">
            <v>07 - DEVUELTO A AON</v>
          </cell>
          <cell r="AP4950">
            <v>6101915100028</v>
          </cell>
        </row>
        <row r="4951">
          <cell r="AE4951" t="str">
            <v>07 - DEVUELTO A AON</v>
          </cell>
          <cell r="AP4951">
            <v>7011900009905</v>
          </cell>
        </row>
        <row r="4952">
          <cell r="AE4952" t="str">
            <v>07 - DEVUELTO A AON</v>
          </cell>
          <cell r="AP4952">
            <v>7021900011668</v>
          </cell>
        </row>
        <row r="4953">
          <cell r="AE4953" t="str">
            <v>07 - DEVUELTO A AON</v>
          </cell>
          <cell r="AP4953">
            <v>222301338</v>
          </cell>
        </row>
        <row r="4954">
          <cell r="AE4954" t="str">
            <v>07 - DEVUELTO A AON</v>
          </cell>
          <cell r="AP4954">
            <v>222301339</v>
          </cell>
        </row>
        <row r="4955">
          <cell r="AE4955" t="str">
            <v>07 - DEVUELTO A AON</v>
          </cell>
          <cell r="AP4955">
            <v>2031710100417</v>
          </cell>
        </row>
        <row r="4956">
          <cell r="AE4956" t="str">
            <v>07 - DEVUELTO A AON</v>
          </cell>
          <cell r="AP4956">
            <v>2221710100078</v>
          </cell>
        </row>
        <row r="4957">
          <cell r="AE4957" t="str">
            <v>07 - DEVUELTO A AON</v>
          </cell>
          <cell r="AP4957">
            <v>2401710100208</v>
          </cell>
        </row>
        <row r="4958">
          <cell r="AE4958" t="str">
            <v>07 - DEVUELTO A AON</v>
          </cell>
          <cell r="AP4958" t="str">
            <v>E0021344</v>
          </cell>
        </row>
        <row r="4959">
          <cell r="AE4959" t="str">
            <v>05 - ANULADA EN VIGENCIA</v>
          </cell>
          <cell r="AP4959">
            <v>82826</v>
          </cell>
        </row>
        <row r="4960">
          <cell r="AE4960" t="str">
            <v>04 - NO RENOVADA</v>
          </cell>
          <cell r="AP4960">
            <v>9262999</v>
          </cell>
        </row>
        <row r="4961">
          <cell r="AE4961" t="str">
            <v>04 - NO RENOVADA</v>
          </cell>
          <cell r="AP4961">
            <v>104180</v>
          </cell>
        </row>
        <row r="4962">
          <cell r="AE4962" t="str">
            <v>05 - ANULADA EN VIGENCIA</v>
          </cell>
          <cell r="AP4962" t="str">
            <v>E0029911</v>
          </cell>
        </row>
        <row r="4963">
          <cell r="AE4963" t="str">
            <v>05 - ANULADA EN VIGENCIA</v>
          </cell>
          <cell r="AP4963" t="str">
            <v>E0027614</v>
          </cell>
        </row>
        <row r="4964">
          <cell r="AE4964" t="str">
            <v>05 - ANULADA EN VIGENCIA</v>
          </cell>
          <cell r="AP4964">
            <v>113952</v>
          </cell>
        </row>
        <row r="4965">
          <cell r="AE4965" t="str">
            <v>05 - ANULADA EN VIGENCIA</v>
          </cell>
          <cell r="AP4965">
            <v>62087039</v>
          </cell>
        </row>
        <row r="4966">
          <cell r="AE4966" t="str">
            <v>04 - NO RENOVADA</v>
          </cell>
          <cell r="AP4966">
            <v>17286343</v>
          </cell>
        </row>
        <row r="4967">
          <cell r="AE4967" t="str">
            <v>05 - ANULADA EN VIGENCIA</v>
          </cell>
          <cell r="AP4967" t="str">
            <v>E0030698</v>
          </cell>
        </row>
        <row r="4968">
          <cell r="AE4968" t="str">
            <v>05 - ANULADA EN VIGENCIA</v>
          </cell>
          <cell r="AP4968">
            <v>220024770</v>
          </cell>
        </row>
        <row r="4969">
          <cell r="AE4969" t="str">
            <v>05 - ANULADA EN VIGENCIA</v>
          </cell>
          <cell r="AP4969">
            <v>21428</v>
          </cell>
        </row>
        <row r="4970">
          <cell r="AE4970" t="str">
            <v>05 - ANULADA EN VIGENCIA</v>
          </cell>
          <cell r="AP4970">
            <v>11796335</v>
          </cell>
        </row>
        <row r="4971">
          <cell r="AE4971" t="str">
            <v>04 - NO RENOVADA</v>
          </cell>
          <cell r="AP4971">
            <v>62099776</v>
          </cell>
        </row>
        <row r="4972">
          <cell r="AE4972" t="str">
            <v>04 - NO RENOVADA</v>
          </cell>
          <cell r="AP4972">
            <v>127419</v>
          </cell>
        </row>
        <row r="4973">
          <cell r="AE4973" t="str">
            <v>03 - PENDIENTE</v>
          </cell>
          <cell r="AP4973">
            <v>105108</v>
          </cell>
        </row>
        <row r="4974">
          <cell r="AE4974" t="str">
            <v>03 - PENDIENTE</v>
          </cell>
          <cell r="AP4974">
            <v>2006592237</v>
          </cell>
        </row>
        <row r="4975">
          <cell r="AE4975" t="str">
            <v>03 - PENDIENTE</v>
          </cell>
          <cell r="AP4975">
            <v>37478</v>
          </cell>
        </row>
        <row r="4976">
          <cell r="AE4976" t="str">
            <v>05 - ANULADA EN VIGENCIA</v>
          </cell>
          <cell r="AP4976">
            <v>340067722</v>
          </cell>
        </row>
        <row r="4977">
          <cell r="AE4977" t="str">
            <v>05 - ANULADA EN VIGENCIA</v>
          </cell>
          <cell r="AP4977">
            <v>87661964</v>
          </cell>
        </row>
        <row r="4978">
          <cell r="AE4978" t="str">
            <v>05 - ANULADA EN VIGENCIA</v>
          </cell>
          <cell r="AP4978">
            <v>62059119</v>
          </cell>
        </row>
        <row r="4979">
          <cell r="AE4979" t="str">
            <v>05 - ANULADA EN VIGENCIA</v>
          </cell>
          <cell r="AP4979">
            <v>85263</v>
          </cell>
        </row>
        <row r="4980">
          <cell r="AE4980" t="str">
            <v>05 - ANULADA EN VIGENCIA</v>
          </cell>
          <cell r="AP4980">
            <v>70114877</v>
          </cell>
        </row>
        <row r="4981">
          <cell r="AE4981" t="str">
            <v>01 - RENOVADA</v>
          </cell>
          <cell r="AP4981">
            <v>66612</v>
          </cell>
        </row>
        <row r="4982">
          <cell r="AE4982" t="str">
            <v>03 - PENDIENTE</v>
          </cell>
          <cell r="AP4982">
            <v>2001787218</v>
          </cell>
        </row>
        <row r="4983">
          <cell r="AE4983" t="str">
            <v>05 - ANULADA EN VIGENCIA</v>
          </cell>
          <cell r="AP4983">
            <v>545166</v>
          </cell>
        </row>
        <row r="4984">
          <cell r="AE4984" t="str">
            <v>05 - ANULADA EN VIGENCIA</v>
          </cell>
          <cell r="AP4984">
            <v>511750</v>
          </cell>
        </row>
        <row r="4985">
          <cell r="AE4985" t="str">
            <v>01 - RENOVADA</v>
          </cell>
          <cell r="AP4985">
            <v>2011347911</v>
          </cell>
        </row>
        <row r="4986">
          <cell r="AE4986" t="str">
            <v>07 - DEVUELTO A AON</v>
          </cell>
          <cell r="AP4986">
            <v>220020752</v>
          </cell>
        </row>
        <row r="4987">
          <cell r="AE4987" t="str">
            <v>07 - DEVUELTO A AON</v>
          </cell>
          <cell r="AP4987">
            <v>220023863</v>
          </cell>
        </row>
        <row r="4988">
          <cell r="AE4988" t="str">
            <v>07 - DEVUELTO A AON</v>
          </cell>
          <cell r="AP4988">
            <v>220019200</v>
          </cell>
        </row>
        <row r="4989">
          <cell r="AE4989" t="str">
            <v>05 - ANULADA EN VIGENCIA</v>
          </cell>
          <cell r="AP4989">
            <v>1000248184</v>
          </cell>
        </row>
        <row r="4990">
          <cell r="AE4990" t="str">
            <v>05 - ANULADA EN VIGENCIA</v>
          </cell>
          <cell r="AP4990">
            <v>804300</v>
          </cell>
        </row>
        <row r="4991">
          <cell r="AE4991" t="str">
            <v>05 - ANULADA EN VIGENCIA</v>
          </cell>
          <cell r="AP4991">
            <v>17169369</v>
          </cell>
        </row>
        <row r="4992">
          <cell r="AE4992" t="str">
            <v>04 - NO RENOVADA</v>
          </cell>
          <cell r="AP4992">
            <v>1000141313</v>
          </cell>
        </row>
        <row r="4993">
          <cell r="AE4993" t="str">
            <v>04 - NO RENOVADA</v>
          </cell>
          <cell r="AP4993">
            <v>525579</v>
          </cell>
        </row>
        <row r="4994">
          <cell r="AE4994" t="str">
            <v>05 - ANULADA EN VIGENCIA</v>
          </cell>
          <cell r="AP4994">
            <v>15668691</v>
          </cell>
        </row>
        <row r="4995">
          <cell r="AE4995" t="str">
            <v>04 - NO RENOVADA</v>
          </cell>
          <cell r="AP4995">
            <v>95566</v>
          </cell>
        </row>
        <row r="4996">
          <cell r="AE4996" t="str">
            <v>04 - NO RENOVADA</v>
          </cell>
          <cell r="AP4996">
            <v>881993</v>
          </cell>
        </row>
        <row r="4997">
          <cell r="AE4997" t="str">
            <v>04 - NO RENOVADA</v>
          </cell>
          <cell r="AP4997">
            <v>1000279466</v>
          </cell>
        </row>
        <row r="4998">
          <cell r="AE4998" t="str">
            <v>05 - ANULADA EN VIGENCIA</v>
          </cell>
          <cell r="AP4998">
            <v>4268229</v>
          </cell>
        </row>
        <row r="4999">
          <cell r="AE4999" t="str">
            <v>03 - PENDIENTE</v>
          </cell>
          <cell r="AP4999">
            <v>124106</v>
          </cell>
        </row>
        <row r="5000">
          <cell r="AE5000" t="str">
            <v>04 - NO RENOVADA</v>
          </cell>
          <cell r="AP5000">
            <v>1000235342</v>
          </cell>
        </row>
        <row r="5001">
          <cell r="AE5001" t="str">
            <v>04 - NO RENOVADA</v>
          </cell>
          <cell r="AP5001">
            <v>771957</v>
          </cell>
        </row>
        <row r="5002">
          <cell r="AE5002" t="str">
            <v>04 - NO RENOVADA</v>
          </cell>
          <cell r="AP5002">
            <v>2005458830</v>
          </cell>
        </row>
        <row r="5003">
          <cell r="AE5003" t="str">
            <v>03 - PENDIENTE</v>
          </cell>
          <cell r="AP5003">
            <v>67288158</v>
          </cell>
        </row>
        <row r="5004">
          <cell r="AE5004" t="str">
            <v>01 - RENOVADA</v>
          </cell>
          <cell r="AP5004" t="str">
            <v>E0016874</v>
          </cell>
        </row>
        <row r="5005">
          <cell r="AE5005" t="str">
            <v>05 - ANULADA EN VIGENCIA</v>
          </cell>
          <cell r="AP5005">
            <v>45749</v>
          </cell>
        </row>
        <row r="5006">
          <cell r="AE5006" t="str">
            <v>04 - NO RENOVADA</v>
          </cell>
          <cell r="AP5006">
            <v>2006992843</v>
          </cell>
        </row>
        <row r="5007">
          <cell r="AE5007" t="str">
            <v>05 - ANULADA EN VIGENCIA</v>
          </cell>
          <cell r="AP5007">
            <v>1509790</v>
          </cell>
        </row>
        <row r="5008">
          <cell r="AE5008" t="str">
            <v>01 - RENOVADA</v>
          </cell>
          <cell r="AP5008">
            <v>1544218</v>
          </cell>
        </row>
        <row r="5009">
          <cell r="AE5009" t="str">
            <v>08 - VIGENCIA ANTERIOR</v>
          </cell>
          <cell r="AP5009">
            <v>971309</v>
          </cell>
        </row>
        <row r="5010">
          <cell r="AE5010" t="str">
            <v>05 - ANULADA EN VIGENCIA</v>
          </cell>
          <cell r="AP5010">
            <v>1080880</v>
          </cell>
        </row>
        <row r="5011">
          <cell r="AE5011" t="str">
            <v>01 - RENOVADA</v>
          </cell>
          <cell r="AP5011">
            <v>604063419</v>
          </cell>
        </row>
        <row r="5012">
          <cell r="AE5012" t="str">
            <v>03 - PENDIENTE</v>
          </cell>
          <cell r="AP5012">
            <v>6102300009143</v>
          </cell>
        </row>
        <row r="5013">
          <cell r="AE5013" t="str">
            <v>03 - PENDIENTE</v>
          </cell>
          <cell r="AP5013">
            <v>62092904</v>
          </cell>
        </row>
        <row r="5014">
          <cell r="AE5014" t="str">
            <v>03 - PENDIENTE</v>
          </cell>
          <cell r="AP5014">
            <v>119880</v>
          </cell>
        </row>
        <row r="5015">
          <cell r="AE5015" t="str">
            <v>01 - RENOVADA</v>
          </cell>
          <cell r="AP5015">
            <v>2011700747</v>
          </cell>
        </row>
        <row r="5016">
          <cell r="AE5016" t="str">
            <v>09 - PRORROGADA</v>
          </cell>
          <cell r="AP5016">
            <v>220024753</v>
          </cell>
        </row>
        <row r="5017">
          <cell r="AE5017" t="str">
            <v>03 - PENDIENTE</v>
          </cell>
          <cell r="AP5017">
            <v>17058465</v>
          </cell>
        </row>
        <row r="5018">
          <cell r="AE5018" t="str">
            <v>03 - PENDIENTE</v>
          </cell>
          <cell r="AP5018">
            <v>96745</v>
          </cell>
        </row>
        <row r="5019">
          <cell r="AE5019" t="str">
            <v>04 - NO RENOVADA</v>
          </cell>
          <cell r="AP5019">
            <v>109943</v>
          </cell>
        </row>
        <row r="5020">
          <cell r="AE5020" t="str">
            <v>05 - ANULADA EN VIGENCIA</v>
          </cell>
          <cell r="AP5020">
            <v>95861</v>
          </cell>
        </row>
        <row r="5021">
          <cell r="AE5021" t="str">
            <v>05 - ANULADA EN VIGENCIA</v>
          </cell>
          <cell r="AP5021">
            <v>62061498</v>
          </cell>
        </row>
        <row r="5022">
          <cell r="AE5022" t="str">
            <v>05 - ANULADA EN VIGENCIA</v>
          </cell>
          <cell r="AP5022">
            <v>7457</v>
          </cell>
        </row>
        <row r="5023">
          <cell r="AE5023" t="str">
            <v>01 - RENOVADA</v>
          </cell>
          <cell r="AP5023">
            <v>2032310100140</v>
          </cell>
        </row>
        <row r="5024">
          <cell r="AE5024" t="str">
            <v>01 - RENOVADA</v>
          </cell>
          <cell r="AP5024">
            <v>2402310104190</v>
          </cell>
        </row>
        <row r="5025">
          <cell r="AE5025" t="str">
            <v>05 - ANULADA EN VIGENCIA</v>
          </cell>
          <cell r="AP5025">
            <v>220022076</v>
          </cell>
        </row>
        <row r="5026">
          <cell r="AE5026" t="str">
            <v>05 - ANULADA EN VIGENCIA</v>
          </cell>
          <cell r="AP5026">
            <v>220022078</v>
          </cell>
        </row>
        <row r="5027">
          <cell r="AE5027" t="str">
            <v>05 - ANULADA EN VIGENCIA</v>
          </cell>
          <cell r="AP5027">
            <v>220022065</v>
          </cell>
        </row>
        <row r="5028">
          <cell r="AE5028" t="str">
            <v>01 - RENOVADA</v>
          </cell>
          <cell r="AP5028">
            <v>620100333</v>
          </cell>
        </row>
        <row r="5029">
          <cell r="AE5029" t="str">
            <v>04 - NO RENOVADA</v>
          </cell>
          <cell r="AP5029">
            <v>69925</v>
          </cell>
        </row>
        <row r="5030">
          <cell r="AE5030" t="str">
            <v>01 - RENOVADA</v>
          </cell>
          <cell r="AP5030">
            <v>1128639</v>
          </cell>
        </row>
        <row r="5031">
          <cell r="AE5031" t="str">
            <v>04 - NO RENOVADA</v>
          </cell>
          <cell r="AP5031">
            <v>602529</v>
          </cell>
        </row>
        <row r="5032">
          <cell r="AE5032" t="str">
            <v>08 - VIGENCIA ANTERIOR</v>
          </cell>
          <cell r="AP5032">
            <v>7510</v>
          </cell>
        </row>
        <row r="5033">
          <cell r="AE5033" t="str">
            <v>01 - RENOVADA</v>
          </cell>
          <cell r="AP5033">
            <v>10162</v>
          </cell>
        </row>
        <row r="5034">
          <cell r="AE5034" t="str">
            <v>04 - NO RENOVADA</v>
          </cell>
          <cell r="AP5034">
            <v>7011512200821</v>
          </cell>
        </row>
        <row r="5035">
          <cell r="AE5035" t="str">
            <v>04 - NO RENOVADA</v>
          </cell>
          <cell r="AP5035">
            <v>7021512200475</v>
          </cell>
        </row>
        <row r="5036">
          <cell r="AE5036" t="str">
            <v>08 - VIGENCIA ANTERIOR</v>
          </cell>
          <cell r="AP5036">
            <v>78008030</v>
          </cell>
        </row>
        <row r="5037">
          <cell r="AE5037" t="str">
            <v>08 - VIGENCIA ANTERIOR</v>
          </cell>
          <cell r="AP5037">
            <v>7800803</v>
          </cell>
        </row>
        <row r="5038">
          <cell r="AE5038" t="str">
            <v>01 - RENOVADA</v>
          </cell>
          <cell r="AP5038">
            <v>2009823617</v>
          </cell>
        </row>
        <row r="5039">
          <cell r="AE5039" t="str">
            <v>01 - RENOVADA</v>
          </cell>
          <cell r="AP5039">
            <v>9513392</v>
          </cell>
        </row>
        <row r="5040">
          <cell r="AE5040" t="str">
            <v>01 - RENOVADA</v>
          </cell>
          <cell r="AP5040">
            <v>1300375294</v>
          </cell>
        </row>
        <row r="5041">
          <cell r="AE5041" t="str">
            <v>01 - RENOVADA</v>
          </cell>
          <cell r="AP5041">
            <v>1300375062</v>
          </cell>
        </row>
        <row r="5042">
          <cell r="AE5042" t="str">
            <v>01 - RENOVADA</v>
          </cell>
          <cell r="AP5042">
            <v>600197916</v>
          </cell>
        </row>
        <row r="5043">
          <cell r="AE5043" t="str">
            <v>03 - PENDIENTE</v>
          </cell>
          <cell r="AP5043">
            <v>62048616</v>
          </cell>
        </row>
        <row r="5044">
          <cell r="AE5044" t="str">
            <v>03 - PENDIENTE</v>
          </cell>
          <cell r="AP5044">
            <v>73906</v>
          </cell>
        </row>
        <row r="5045">
          <cell r="AE5045" t="str">
            <v>03 - PENDIENTE</v>
          </cell>
          <cell r="AP5045">
            <v>67752</v>
          </cell>
        </row>
        <row r="5046">
          <cell r="AE5046" t="str">
            <v>05 - ANULADA EN VIGENCIA</v>
          </cell>
          <cell r="AP5046">
            <v>3012300016094</v>
          </cell>
        </row>
        <row r="5047">
          <cell r="AE5047" t="str">
            <v>01 - RENOVADA</v>
          </cell>
          <cell r="AP5047">
            <v>3012300027276</v>
          </cell>
        </row>
        <row r="5048">
          <cell r="AE5048" t="str">
            <v>01 - RENOVADA</v>
          </cell>
          <cell r="AP5048">
            <v>3011800042164</v>
          </cell>
        </row>
        <row r="5049">
          <cell r="AE5049" t="str">
            <v>01 - RENOVADA</v>
          </cell>
          <cell r="AP5049">
            <v>70234004</v>
          </cell>
        </row>
        <row r="5050">
          <cell r="AE5050" t="str">
            <v>01 - RENOVADA</v>
          </cell>
          <cell r="AP5050">
            <v>70234203</v>
          </cell>
        </row>
        <row r="5051">
          <cell r="AE5051" t="str">
            <v>03 - PENDIENTE</v>
          </cell>
          <cell r="AP5051">
            <v>48899</v>
          </cell>
        </row>
        <row r="5052">
          <cell r="AE5052" t="str">
            <v>01 - RENOVADA</v>
          </cell>
          <cell r="AP5052">
            <v>2102410800004</v>
          </cell>
        </row>
        <row r="5053">
          <cell r="AE5053" t="str">
            <v>01 - RENOVADA</v>
          </cell>
          <cell r="AP5053">
            <v>2402410800094</v>
          </cell>
        </row>
        <row r="5054">
          <cell r="AE5054" t="str">
            <v>01 - RENOVADA</v>
          </cell>
          <cell r="AP5054">
            <v>2032410800022</v>
          </cell>
        </row>
        <row r="5055">
          <cell r="AE5055" t="str">
            <v>01 - RENOVADA</v>
          </cell>
          <cell r="AP5055">
            <v>3011800010046</v>
          </cell>
        </row>
        <row r="5056">
          <cell r="AE5056" t="str">
            <v>01 - RENOVADA</v>
          </cell>
          <cell r="AP5056">
            <v>3022500136458</v>
          </cell>
        </row>
        <row r="5057">
          <cell r="AE5057" t="str">
            <v>01 - RENOVADA</v>
          </cell>
          <cell r="AP5057">
            <v>3012000000929</v>
          </cell>
        </row>
        <row r="5058">
          <cell r="AE5058" t="str">
            <v>01 - RENOVADA</v>
          </cell>
          <cell r="AP5058">
            <v>3022500192443</v>
          </cell>
        </row>
        <row r="5059">
          <cell r="AE5059" t="str">
            <v>08 - VIGENCIA ANTERIOR</v>
          </cell>
          <cell r="AP5059">
            <v>28</v>
          </cell>
        </row>
        <row r="5060">
          <cell r="AE5060" t="str">
            <v>04 - NO RENOVADA</v>
          </cell>
          <cell r="AP5060">
            <v>5608</v>
          </cell>
        </row>
        <row r="5061">
          <cell r="AE5061" t="str">
            <v>03 - PENDIENTE</v>
          </cell>
          <cell r="AP5061">
            <v>7012300060114</v>
          </cell>
        </row>
        <row r="5062">
          <cell r="AE5062" t="str">
            <v>03 - PENDIENTE</v>
          </cell>
          <cell r="AP5062">
            <v>7022300074580</v>
          </cell>
        </row>
        <row r="5063">
          <cell r="AE5063" t="str">
            <v>01 - RENOVADA</v>
          </cell>
          <cell r="AP5063">
            <v>612034414</v>
          </cell>
        </row>
        <row r="5064">
          <cell r="AE5064" t="str">
            <v>03 - PENDIENTE</v>
          </cell>
          <cell r="AP5064">
            <v>6102210107954</v>
          </cell>
        </row>
        <row r="5065">
          <cell r="AE5065" t="str">
            <v>05 - ANULADA EN VIGENCIA</v>
          </cell>
          <cell r="AP5065">
            <v>61109231</v>
          </cell>
        </row>
        <row r="5066">
          <cell r="AE5066" t="str">
            <v>01 - RENOVADA</v>
          </cell>
          <cell r="AP5066">
            <v>31701</v>
          </cell>
        </row>
        <row r="5067">
          <cell r="AE5067" t="str">
            <v>04 - NO RENOVADA</v>
          </cell>
          <cell r="AP5067">
            <v>2401312500344</v>
          </cell>
        </row>
        <row r="5068">
          <cell r="AE5068" t="str">
            <v>01 - RENOVADA</v>
          </cell>
          <cell r="AP5068">
            <v>70248046</v>
          </cell>
        </row>
        <row r="5069">
          <cell r="AE5069" t="str">
            <v>03 - PENDIENTE</v>
          </cell>
          <cell r="AP5069">
            <v>2738</v>
          </cell>
        </row>
        <row r="5070">
          <cell r="AE5070" t="str">
            <v>03 - PENDIENTE</v>
          </cell>
          <cell r="AP5070">
            <v>2010717280</v>
          </cell>
        </row>
        <row r="5071">
          <cell r="AE5071" t="str">
            <v>03 - PENDIENTE</v>
          </cell>
          <cell r="AP5071">
            <v>9407330</v>
          </cell>
        </row>
        <row r="5072">
          <cell r="AE5072" t="str">
            <v>05 - ANULADA EN VIGENCIA</v>
          </cell>
          <cell r="AP5072">
            <v>2502259900019</v>
          </cell>
        </row>
        <row r="5073">
          <cell r="AE5073" t="str">
            <v>05 - ANULADA EN VIGENCIA</v>
          </cell>
          <cell r="AP5073" t="str">
            <v>E0026841</v>
          </cell>
        </row>
        <row r="5074">
          <cell r="AE5074" t="str">
            <v>05 - ANULADA EN VIGENCIA</v>
          </cell>
          <cell r="AP5074" t="str">
            <v>E0020597</v>
          </cell>
        </row>
        <row r="5075">
          <cell r="AE5075" t="str">
            <v>05 - ANULADA EN VIGENCIA</v>
          </cell>
          <cell r="AP5075">
            <v>3691</v>
          </cell>
        </row>
        <row r="5076">
          <cell r="AE5076" t="str">
            <v>05 - ANULADA EN VIGENCIA</v>
          </cell>
          <cell r="AP5076">
            <v>6678</v>
          </cell>
        </row>
        <row r="5077">
          <cell r="AE5077" t="str">
            <v>05 - ANULADA EN VIGENCIA</v>
          </cell>
          <cell r="AP5077">
            <v>4349</v>
          </cell>
        </row>
        <row r="5078">
          <cell r="AE5078" t="str">
            <v>05 - ANULADA EN VIGENCIA</v>
          </cell>
          <cell r="AP5078">
            <v>7012000066857</v>
          </cell>
        </row>
        <row r="5079">
          <cell r="AE5079" t="str">
            <v>05 - ANULADA EN VIGENCIA</v>
          </cell>
          <cell r="AP5079">
            <v>7022000075101</v>
          </cell>
        </row>
        <row r="5080">
          <cell r="AE5080" t="str">
            <v>05 - ANULADA EN VIGENCIA</v>
          </cell>
          <cell r="AP5080">
            <v>6102059900443</v>
          </cell>
        </row>
        <row r="5081">
          <cell r="AE5081" t="str">
            <v>01 - RENOVADA</v>
          </cell>
          <cell r="AP5081">
            <v>1300374882</v>
          </cell>
        </row>
        <row r="5082">
          <cell r="AE5082" t="str">
            <v>01 - RENOVADA</v>
          </cell>
          <cell r="AP5082" t="str">
            <v>E0022240</v>
          </cell>
        </row>
        <row r="5083">
          <cell r="AE5083" t="str">
            <v>04 - NO RENOVADA</v>
          </cell>
          <cell r="AP5083">
            <v>45340</v>
          </cell>
        </row>
        <row r="5084">
          <cell r="AE5084" t="str">
            <v>02 - EN PROCESO</v>
          </cell>
          <cell r="AP5084">
            <v>46637</v>
          </cell>
        </row>
        <row r="5085">
          <cell r="AE5085" t="str">
            <v>04 - NO RENOVADA</v>
          </cell>
          <cell r="AP5085">
            <v>6102159900147</v>
          </cell>
        </row>
        <row r="5086">
          <cell r="AE5086" t="str">
            <v>04 - NO RENOVADA</v>
          </cell>
          <cell r="AP5086">
            <v>7012100038601</v>
          </cell>
        </row>
        <row r="5087">
          <cell r="AE5087" t="str">
            <v>04 - NO RENOVADA</v>
          </cell>
          <cell r="AP5087">
            <v>7022100045069</v>
          </cell>
        </row>
        <row r="5088">
          <cell r="AE5088" t="str">
            <v>07 - DEVUELTO A AON</v>
          </cell>
          <cell r="AP5088">
            <v>115433</v>
          </cell>
        </row>
        <row r="5089">
          <cell r="AE5089" t="str">
            <v>07 - DEVUELTO A AON</v>
          </cell>
          <cell r="AP5089">
            <v>99431</v>
          </cell>
        </row>
        <row r="5090">
          <cell r="AE5090" t="str">
            <v>07 - DEVUELTO A AON</v>
          </cell>
          <cell r="AP5090">
            <v>99497</v>
          </cell>
        </row>
        <row r="5091">
          <cell r="AE5091" t="str">
            <v>07 - DEVUELTO A AON</v>
          </cell>
          <cell r="AP5091">
            <v>62088454</v>
          </cell>
        </row>
        <row r="5092">
          <cell r="AE5092" t="str">
            <v>05 - ANULADA EN VIGENCIA</v>
          </cell>
          <cell r="AP5092">
            <v>1437907</v>
          </cell>
        </row>
        <row r="5093">
          <cell r="AE5093" t="str">
            <v>05 - ANULADA EN VIGENCIA</v>
          </cell>
          <cell r="AP5093">
            <v>2010315483</v>
          </cell>
        </row>
        <row r="5094">
          <cell r="AE5094" t="str">
            <v>04 - NO RENOVADA</v>
          </cell>
          <cell r="AP5094">
            <v>17623432</v>
          </cell>
        </row>
        <row r="5095">
          <cell r="AE5095" t="str">
            <v>04 - NO RENOVADA</v>
          </cell>
          <cell r="AP5095">
            <v>17505635</v>
          </cell>
        </row>
        <row r="5096">
          <cell r="AE5096" t="str">
            <v>01 - RENOVADA</v>
          </cell>
          <cell r="AP5096">
            <v>69523</v>
          </cell>
        </row>
        <row r="5097">
          <cell r="AE5097" t="str">
            <v>01 - RENOVADA</v>
          </cell>
          <cell r="AP5097">
            <v>4664</v>
          </cell>
        </row>
        <row r="5098">
          <cell r="AE5098" t="str">
            <v>04 - NO RENOVADA</v>
          </cell>
          <cell r="AP5098">
            <v>2007538468</v>
          </cell>
        </row>
        <row r="5099">
          <cell r="AE5099" t="str">
            <v>04 - NO RENOVADA</v>
          </cell>
          <cell r="AP5099">
            <v>2007538471</v>
          </cell>
        </row>
        <row r="5100">
          <cell r="AE5100" t="str">
            <v>04 - NO RENOVADA</v>
          </cell>
          <cell r="AP5100">
            <v>81183574</v>
          </cell>
        </row>
        <row r="5101">
          <cell r="AE5101" t="str">
            <v>01 - RENOVADA</v>
          </cell>
          <cell r="AP5101">
            <v>2521410100001</v>
          </cell>
        </row>
        <row r="5102">
          <cell r="AE5102" t="str">
            <v>04 - NO RENOVADA</v>
          </cell>
          <cell r="AP5102" t="str">
            <v>P0199598</v>
          </cell>
        </row>
        <row r="5103">
          <cell r="AE5103" t="str">
            <v>04 - NO RENOVADA</v>
          </cell>
          <cell r="AP5103">
            <v>7012100064908</v>
          </cell>
        </row>
        <row r="5104">
          <cell r="AE5104" t="str">
            <v>04 - NO RENOVADA</v>
          </cell>
          <cell r="AP5104">
            <v>7022100076102</v>
          </cell>
        </row>
        <row r="5105">
          <cell r="AE5105" t="str">
            <v>03 - PENDIENTE</v>
          </cell>
          <cell r="AP5105">
            <v>107716</v>
          </cell>
        </row>
        <row r="5106">
          <cell r="AE5106" t="str">
            <v>08 - VIGENCIA ANTERIOR</v>
          </cell>
          <cell r="AP5106">
            <v>22751</v>
          </cell>
        </row>
        <row r="5107">
          <cell r="AE5107" t="str">
            <v>01 - RENOVADA</v>
          </cell>
          <cell r="AP5107">
            <v>600085212</v>
          </cell>
        </row>
        <row r="5108">
          <cell r="AE5108" t="str">
            <v>08 - VIGENCIA ANTERIOR</v>
          </cell>
          <cell r="AP5108">
            <v>16814508</v>
          </cell>
        </row>
        <row r="5109">
          <cell r="AE5109" t="str">
            <v>04 - NO RENOVADA</v>
          </cell>
          <cell r="AP5109">
            <v>1431</v>
          </cell>
        </row>
        <row r="5110">
          <cell r="AE5110" t="str">
            <v>04 - NO RENOVADA</v>
          </cell>
          <cell r="AP5110">
            <v>8504</v>
          </cell>
        </row>
        <row r="5111">
          <cell r="AE5111" t="str">
            <v>04 - NO RENOVADA</v>
          </cell>
          <cell r="AP5111">
            <v>9045</v>
          </cell>
        </row>
        <row r="5112">
          <cell r="AE5112" t="str">
            <v>02 - EN PROCESO</v>
          </cell>
          <cell r="AP5112">
            <v>19629747</v>
          </cell>
        </row>
        <row r="5113">
          <cell r="AE5113" t="str">
            <v>05 - ANULADA EN VIGENCIA</v>
          </cell>
          <cell r="AP5113">
            <v>32421347</v>
          </cell>
        </row>
        <row r="5114">
          <cell r="AE5114" t="str">
            <v>05 - ANULADA EN VIGENCIA</v>
          </cell>
          <cell r="AP5114">
            <v>328</v>
          </cell>
        </row>
        <row r="5115">
          <cell r="AE5115" t="str">
            <v>05 - ANULADA EN VIGENCIA</v>
          </cell>
          <cell r="AP5115" t="str">
            <v>E0019315</v>
          </cell>
        </row>
        <row r="5116">
          <cell r="AE5116" t="str">
            <v>05 - ANULADA EN VIGENCIA</v>
          </cell>
          <cell r="AP5116" t="str">
            <v>S0158092</v>
          </cell>
        </row>
        <row r="5117">
          <cell r="AE5117" t="str">
            <v>04 - NO RENOVADA</v>
          </cell>
          <cell r="AP5117">
            <v>620100752</v>
          </cell>
        </row>
        <row r="5118">
          <cell r="AE5118" t="str">
            <v>04 - NO RENOVADA</v>
          </cell>
          <cell r="AP5118">
            <v>1000139185</v>
          </cell>
        </row>
        <row r="5119">
          <cell r="AE5119" t="str">
            <v>04 - NO RENOVADA</v>
          </cell>
          <cell r="AP5119">
            <v>603656988</v>
          </cell>
        </row>
        <row r="5120">
          <cell r="AE5120" t="str">
            <v>04 - NO RENOVADA</v>
          </cell>
          <cell r="AP5120">
            <v>103277</v>
          </cell>
        </row>
        <row r="5121">
          <cell r="AE5121" t="str">
            <v>04 - NO RENOVADA</v>
          </cell>
          <cell r="AP5121">
            <v>1129083</v>
          </cell>
        </row>
        <row r="5122">
          <cell r="AE5122" t="str">
            <v>05 - ANULADA EN VIGENCIA</v>
          </cell>
          <cell r="AP5122">
            <v>47112</v>
          </cell>
        </row>
        <row r="5123">
          <cell r="AE5123" t="str">
            <v>01 - RENOVADA</v>
          </cell>
          <cell r="AP5123">
            <v>15410665</v>
          </cell>
        </row>
        <row r="5124">
          <cell r="AE5124" t="str">
            <v>03 - PENDIENTE</v>
          </cell>
          <cell r="AP5124">
            <v>103329</v>
          </cell>
        </row>
        <row r="5125">
          <cell r="AE5125" t="str">
            <v>01 - RENOVADA</v>
          </cell>
          <cell r="AP5125" t="str">
            <v>E0037537</v>
          </cell>
        </row>
        <row r="5126">
          <cell r="AE5126" t="str">
            <v>04 - NO RENOVADA</v>
          </cell>
          <cell r="AP5126">
            <v>102944</v>
          </cell>
        </row>
        <row r="5127">
          <cell r="AE5127" t="str">
            <v>05 - ANULADA EN VIGENCIA</v>
          </cell>
          <cell r="AP5127">
            <v>2002147357</v>
          </cell>
        </row>
        <row r="5128">
          <cell r="AE5128" t="str">
            <v>04 - NO RENOVADA</v>
          </cell>
          <cell r="AP5128">
            <v>1161910104295</v>
          </cell>
        </row>
        <row r="5129">
          <cell r="AE5129" t="str">
            <v>01 - RENOVADA</v>
          </cell>
          <cell r="AP5129">
            <v>5484482</v>
          </cell>
        </row>
        <row r="5130">
          <cell r="AE5130" t="str">
            <v>01 - RENOVADA</v>
          </cell>
          <cell r="AP5130">
            <v>16672558</v>
          </cell>
        </row>
        <row r="5131">
          <cell r="AE5131" t="str">
            <v>04 - NO RENOVADA</v>
          </cell>
          <cell r="AP5131">
            <v>70581</v>
          </cell>
        </row>
        <row r="5132">
          <cell r="AE5132" t="str">
            <v>04 - NO RENOVADA</v>
          </cell>
          <cell r="AP5132">
            <v>70582</v>
          </cell>
        </row>
        <row r="5133">
          <cell r="AE5133" t="str">
            <v>04 - NO RENOVADA</v>
          </cell>
          <cell r="AP5133">
            <v>62070577</v>
          </cell>
        </row>
        <row r="5134">
          <cell r="AE5134" t="str">
            <v>04 - NO RENOVADA</v>
          </cell>
          <cell r="AP5134">
            <v>97429</v>
          </cell>
        </row>
        <row r="5135">
          <cell r="AE5135" t="str">
            <v>04 - NO RENOVADA</v>
          </cell>
          <cell r="AP5135">
            <v>63584</v>
          </cell>
        </row>
        <row r="5136">
          <cell r="AE5136" t="str">
            <v>04 - NO RENOVADA</v>
          </cell>
          <cell r="AP5136">
            <v>600025421</v>
          </cell>
        </row>
        <row r="5137">
          <cell r="AE5137" t="str">
            <v>04 - NO RENOVADA</v>
          </cell>
          <cell r="AP5137">
            <v>62039183</v>
          </cell>
        </row>
        <row r="5138">
          <cell r="AE5138" t="str">
            <v>05 - ANULADA EN VIGENCIA</v>
          </cell>
          <cell r="AP5138">
            <v>62070570</v>
          </cell>
        </row>
        <row r="5139">
          <cell r="AE5139" t="str">
            <v>05 - ANULADA EN VIGENCIA</v>
          </cell>
          <cell r="AP5139">
            <v>97420</v>
          </cell>
        </row>
        <row r="5140">
          <cell r="AE5140" t="str">
            <v>05 - ANULADA EN VIGENCIA</v>
          </cell>
          <cell r="AP5140">
            <v>93965548</v>
          </cell>
        </row>
        <row r="5141">
          <cell r="AE5141" t="str">
            <v>04 - NO RENOVADA</v>
          </cell>
          <cell r="AP5141">
            <v>52019</v>
          </cell>
        </row>
        <row r="5142">
          <cell r="AE5142" t="str">
            <v>05 - ANULADA EN VIGENCIA</v>
          </cell>
          <cell r="AP5142">
            <v>112878</v>
          </cell>
        </row>
        <row r="5143">
          <cell r="AE5143" t="str">
            <v>05 - ANULADA EN VIGENCIA</v>
          </cell>
          <cell r="AP5143">
            <v>62086192</v>
          </cell>
        </row>
        <row r="5144">
          <cell r="AE5144" t="str">
            <v>05 - ANULADA EN VIGENCIA</v>
          </cell>
          <cell r="AP5144">
            <v>64466</v>
          </cell>
        </row>
        <row r="5145">
          <cell r="AE5145" t="str">
            <v>05 - ANULADA EN VIGENCIA</v>
          </cell>
          <cell r="AP5145">
            <v>220024514</v>
          </cell>
        </row>
        <row r="5146">
          <cell r="AE5146" t="str">
            <v>05 - ANULADA EN VIGENCIA</v>
          </cell>
          <cell r="AP5146">
            <v>601267795</v>
          </cell>
        </row>
        <row r="5147">
          <cell r="AE5147" t="str">
            <v>03 - PENDIENTE</v>
          </cell>
          <cell r="AP5147">
            <v>81424</v>
          </cell>
        </row>
        <row r="5148">
          <cell r="AE5148" t="str">
            <v>01 - RENOVADA</v>
          </cell>
          <cell r="AP5148">
            <v>600470486</v>
          </cell>
        </row>
        <row r="5149">
          <cell r="AE5149" t="str">
            <v>04 - NO RENOVADA</v>
          </cell>
          <cell r="AP5149">
            <v>1129853</v>
          </cell>
        </row>
        <row r="5150">
          <cell r="AE5150" t="str">
            <v>04 - NO RENOVADA</v>
          </cell>
          <cell r="AP5150">
            <v>620101526</v>
          </cell>
        </row>
        <row r="5151">
          <cell r="AE5151" t="str">
            <v>08 - VIGENCIA ANTERIOR</v>
          </cell>
          <cell r="AP5151" t="str">
            <v>10-00633-1</v>
          </cell>
        </row>
        <row r="5152">
          <cell r="AE5152" t="str">
            <v>05 - ANULADA EN VIGENCIA</v>
          </cell>
          <cell r="AP5152" t="str">
            <v>30-00133-1</v>
          </cell>
        </row>
        <row r="5153">
          <cell r="AE5153" t="str">
            <v>01 - RENOVADA</v>
          </cell>
          <cell r="AP5153">
            <v>5702025000001</v>
          </cell>
        </row>
        <row r="5154">
          <cell r="AE5154" t="str">
            <v>04 - NO RENOVADA</v>
          </cell>
          <cell r="AP5154">
            <v>1000179680</v>
          </cell>
        </row>
        <row r="5155">
          <cell r="AE5155" t="str">
            <v>04 - NO RENOVADA</v>
          </cell>
          <cell r="AP5155">
            <v>629815</v>
          </cell>
        </row>
        <row r="5156">
          <cell r="AE5156" t="str">
            <v>04 - NO RENOVADA</v>
          </cell>
          <cell r="AP5156">
            <v>1000164895</v>
          </cell>
        </row>
        <row r="5157">
          <cell r="AE5157" t="str">
            <v>04 - NO RENOVADA</v>
          </cell>
          <cell r="AP5157">
            <v>589392</v>
          </cell>
        </row>
        <row r="5158">
          <cell r="AE5158" t="str">
            <v>04 - NO RENOVADA</v>
          </cell>
          <cell r="AP5158" t="str">
            <v>P0240391</v>
          </cell>
        </row>
        <row r="5159">
          <cell r="AE5159" t="str">
            <v>04 - NO RENOVADA</v>
          </cell>
          <cell r="AP5159" t="str">
            <v>S0248981</v>
          </cell>
        </row>
        <row r="5160">
          <cell r="AE5160" t="str">
            <v>04 - NO RENOVADA</v>
          </cell>
          <cell r="AP5160">
            <v>77963701</v>
          </cell>
        </row>
        <row r="5161">
          <cell r="AE5161" t="str">
            <v>04 - NO RENOVADA</v>
          </cell>
          <cell r="AP5161">
            <v>77963715</v>
          </cell>
        </row>
        <row r="5162">
          <cell r="AE5162" t="str">
            <v>03 - PENDIENTE</v>
          </cell>
          <cell r="AP5162">
            <v>70246371</v>
          </cell>
        </row>
        <row r="5163">
          <cell r="AE5163" t="str">
            <v>03 - PENDIENTE</v>
          </cell>
          <cell r="AP5163">
            <v>70246355</v>
          </cell>
        </row>
        <row r="5164">
          <cell r="AE5164" t="str">
            <v>04 - NO RENOVADA</v>
          </cell>
          <cell r="AP5164">
            <v>7012100108645</v>
          </cell>
        </row>
        <row r="5165">
          <cell r="AE5165" t="str">
            <v>04 - NO RENOVADA</v>
          </cell>
          <cell r="AP5165">
            <v>7022100126976</v>
          </cell>
        </row>
        <row r="5166">
          <cell r="AE5166" t="str">
            <v>01 - RENOVADA</v>
          </cell>
          <cell r="AP5166">
            <v>89173</v>
          </cell>
        </row>
        <row r="5167">
          <cell r="AE5167" t="str">
            <v>03 - PENDIENTE</v>
          </cell>
          <cell r="AP5167">
            <v>1000138289</v>
          </cell>
        </row>
        <row r="5168">
          <cell r="AE5168" t="str">
            <v>03 - PENDIENTE</v>
          </cell>
          <cell r="AP5168">
            <v>517521</v>
          </cell>
        </row>
        <row r="5169">
          <cell r="AE5169" t="str">
            <v>01 - RENOVADA</v>
          </cell>
          <cell r="AP5169">
            <v>70202688</v>
          </cell>
        </row>
        <row r="5170">
          <cell r="AE5170" t="str">
            <v>03 - PENDIENTE</v>
          </cell>
          <cell r="AP5170" t="str">
            <v>P3012024047812</v>
          </cell>
        </row>
        <row r="5171">
          <cell r="AE5171" t="str">
            <v>04 - NO RENOVADA</v>
          </cell>
          <cell r="AP5171">
            <v>96245211</v>
          </cell>
        </row>
        <row r="5172">
          <cell r="AE5172" t="str">
            <v>05 - ANULADA EN VIGENCIA</v>
          </cell>
          <cell r="AP5172">
            <v>1126902</v>
          </cell>
        </row>
        <row r="5173">
          <cell r="AE5173" t="str">
            <v>04 - NO RENOVADA</v>
          </cell>
          <cell r="AP5173">
            <v>340063986</v>
          </cell>
        </row>
        <row r="5174">
          <cell r="AE5174" t="str">
            <v>02 - EN PROCESO</v>
          </cell>
          <cell r="AP5174">
            <v>30068122</v>
          </cell>
        </row>
        <row r="5175">
          <cell r="AE5175" t="str">
            <v>03 - PENDIENTE</v>
          </cell>
          <cell r="AP5175">
            <v>340096375</v>
          </cell>
        </row>
        <row r="5176">
          <cell r="AE5176" t="str">
            <v>04 - NO RENOVADA</v>
          </cell>
          <cell r="AP5176">
            <v>57642231</v>
          </cell>
        </row>
        <row r="5177">
          <cell r="AE5177" t="str">
            <v>04 - NO RENOVADA</v>
          </cell>
          <cell r="AP5177">
            <v>57642381</v>
          </cell>
        </row>
        <row r="5178">
          <cell r="AE5178" t="str">
            <v>04 - NO RENOVADA</v>
          </cell>
          <cell r="AP5178" t="str">
            <v>E0018696</v>
          </cell>
        </row>
        <row r="5179">
          <cell r="AE5179" t="str">
            <v>04 - NO RENOVADA</v>
          </cell>
          <cell r="AP5179">
            <v>31450</v>
          </cell>
        </row>
        <row r="5180">
          <cell r="AE5180" t="str">
            <v>03 - PENDIENTE</v>
          </cell>
          <cell r="AP5180">
            <v>600807780</v>
          </cell>
        </row>
        <row r="5181">
          <cell r="AE5181" t="str">
            <v>03 - PENDIENTE</v>
          </cell>
          <cell r="AP5181">
            <v>107385</v>
          </cell>
        </row>
        <row r="5182">
          <cell r="AE5182" t="str">
            <v>03 - PENDIENTE</v>
          </cell>
          <cell r="AP5182">
            <v>62080646</v>
          </cell>
        </row>
        <row r="5183">
          <cell r="AE5183" t="str">
            <v>03 - PENDIENTE</v>
          </cell>
          <cell r="AP5183">
            <v>95567</v>
          </cell>
        </row>
        <row r="5184">
          <cell r="AE5184" t="str">
            <v>01 - RENOVADA</v>
          </cell>
          <cell r="AP5184">
            <v>2010733984</v>
          </cell>
        </row>
        <row r="5185">
          <cell r="AE5185" t="str">
            <v>05 - ANULADA EN VIGENCIA</v>
          </cell>
          <cell r="AP5185">
            <v>16757913</v>
          </cell>
        </row>
        <row r="5186">
          <cell r="AE5186" t="str">
            <v>05 - ANULADA EN VIGENCIA</v>
          </cell>
          <cell r="AP5186">
            <v>16595377</v>
          </cell>
        </row>
        <row r="5187">
          <cell r="AE5187" t="str">
            <v>01 - RENOVADA</v>
          </cell>
          <cell r="AP5187">
            <v>47141</v>
          </cell>
        </row>
        <row r="5188">
          <cell r="AE5188" t="str">
            <v>05 - ANULADA EN VIGENCIA</v>
          </cell>
          <cell r="AP5188">
            <v>2402215100338</v>
          </cell>
        </row>
        <row r="5189">
          <cell r="AE5189" t="str">
            <v>05 - ANULADA EN VIGENCIA</v>
          </cell>
          <cell r="AP5189">
            <v>2401859900033</v>
          </cell>
        </row>
        <row r="5190">
          <cell r="AE5190" t="str">
            <v>05 - ANULADA EN VIGENCIA</v>
          </cell>
          <cell r="AP5190">
            <v>2402110104142</v>
          </cell>
        </row>
        <row r="5191">
          <cell r="AE5191" t="str">
            <v>01 - RENOVADA</v>
          </cell>
          <cell r="AP5191">
            <v>19043635</v>
          </cell>
        </row>
        <row r="5192">
          <cell r="AE5192" t="str">
            <v>04 - NO RENOVADA</v>
          </cell>
          <cell r="AP5192">
            <v>1000152705</v>
          </cell>
        </row>
        <row r="5193">
          <cell r="AE5193" t="str">
            <v>04 - NO RENOVADA</v>
          </cell>
          <cell r="AP5193">
            <v>557119</v>
          </cell>
        </row>
        <row r="5194">
          <cell r="AE5194" t="str">
            <v>08 - VIGENCIA ANTERIOR</v>
          </cell>
          <cell r="AP5194">
            <v>998</v>
          </cell>
        </row>
        <row r="5195">
          <cell r="AE5195" t="str">
            <v>08 - VIGENCIA ANTERIOR</v>
          </cell>
          <cell r="AP5195">
            <v>6794</v>
          </cell>
        </row>
        <row r="5196">
          <cell r="AE5196" t="str">
            <v>04 - NO RENOVADA</v>
          </cell>
          <cell r="AP5196">
            <v>16998586</v>
          </cell>
        </row>
        <row r="5197">
          <cell r="AE5197" t="str">
            <v>04 - NO RENOVADA</v>
          </cell>
          <cell r="AP5197">
            <v>16998620</v>
          </cell>
        </row>
        <row r="5198">
          <cell r="AE5198" t="str">
            <v>08 - VIGENCIA ANTERIOR</v>
          </cell>
          <cell r="AP5198">
            <v>1281717</v>
          </cell>
        </row>
        <row r="5199">
          <cell r="AE5199" t="str">
            <v>05 - ANULADA EN VIGENCIA</v>
          </cell>
          <cell r="AP5199">
            <v>1454603</v>
          </cell>
        </row>
        <row r="5200">
          <cell r="AE5200" t="str">
            <v>07 - DEVUELTO A AON</v>
          </cell>
          <cell r="AP5200">
            <v>7011459900944</v>
          </cell>
        </row>
        <row r="5201">
          <cell r="AE5201" t="str">
            <v>07 - DEVUELTO A AON</v>
          </cell>
          <cell r="AP5201">
            <v>7021459900497</v>
          </cell>
        </row>
        <row r="5202">
          <cell r="AE5202" t="str">
            <v>02 - EN PROCESO</v>
          </cell>
          <cell r="AP5202">
            <v>119156</v>
          </cell>
        </row>
        <row r="5203">
          <cell r="AE5203" t="str">
            <v>01 - RENOVADA</v>
          </cell>
          <cell r="AP5203">
            <v>20630074</v>
          </cell>
        </row>
        <row r="5204">
          <cell r="AE5204" t="str">
            <v>05 - ANULADA EN VIGENCIA</v>
          </cell>
          <cell r="AP5204">
            <v>17589013</v>
          </cell>
        </row>
        <row r="5205">
          <cell r="AE5205" t="str">
            <v>05 - ANULADA EN VIGENCIA</v>
          </cell>
          <cell r="AP5205">
            <v>69578</v>
          </cell>
        </row>
        <row r="5206">
          <cell r="AE5206" t="str">
            <v>05 - ANULADA EN VIGENCIA</v>
          </cell>
          <cell r="AP5206">
            <v>1060782</v>
          </cell>
        </row>
        <row r="5207">
          <cell r="AE5207" t="str">
            <v>05 - ANULADA EN VIGENCIA</v>
          </cell>
          <cell r="AP5207">
            <v>101264</v>
          </cell>
        </row>
        <row r="5208">
          <cell r="AE5208" t="str">
            <v>05 - ANULADA EN VIGENCIA</v>
          </cell>
          <cell r="AP5208">
            <v>62074206</v>
          </cell>
        </row>
        <row r="5209">
          <cell r="AE5209" t="str">
            <v>05 - ANULADA EN VIGENCIA</v>
          </cell>
          <cell r="AP5209">
            <v>94439810</v>
          </cell>
        </row>
        <row r="5210">
          <cell r="AE5210" t="str">
            <v>04 - NO RENOVADA</v>
          </cell>
          <cell r="AP5210">
            <v>116143</v>
          </cell>
        </row>
        <row r="5211">
          <cell r="AE5211" t="str">
            <v>01 - RENOVADA</v>
          </cell>
          <cell r="AP5211">
            <v>9573383</v>
          </cell>
        </row>
        <row r="5212">
          <cell r="AE5212" t="str">
            <v>01 - RENOVADA</v>
          </cell>
          <cell r="AP5212">
            <v>2011711426</v>
          </cell>
        </row>
        <row r="5213">
          <cell r="AE5213" t="str">
            <v>01 - RENOVADA</v>
          </cell>
          <cell r="AP5213">
            <v>17006735</v>
          </cell>
        </row>
        <row r="5214">
          <cell r="AE5214" t="str">
            <v>05 - ANULADA EN VIGENCIA</v>
          </cell>
          <cell r="AP5214">
            <v>80473430</v>
          </cell>
        </row>
        <row r="5215">
          <cell r="AE5215" t="str">
            <v>01 - RENOVADA</v>
          </cell>
          <cell r="AP5215">
            <v>17133588</v>
          </cell>
        </row>
        <row r="5216">
          <cell r="AE5216" t="str">
            <v>01 - RENOVADA</v>
          </cell>
          <cell r="AP5216">
            <v>16704148</v>
          </cell>
        </row>
        <row r="5217">
          <cell r="AE5217" t="str">
            <v>05 - ANULADA EN VIGENCIA</v>
          </cell>
          <cell r="AP5217">
            <v>947203</v>
          </cell>
        </row>
        <row r="5218">
          <cell r="AE5218" t="str">
            <v>05 - ANULADA EN VIGENCIA</v>
          </cell>
          <cell r="AP5218">
            <v>1035268</v>
          </cell>
        </row>
        <row r="5219">
          <cell r="AE5219" t="str">
            <v>05 - ANULADA EN VIGENCIA</v>
          </cell>
          <cell r="AP5219">
            <v>990516</v>
          </cell>
        </row>
        <row r="5220">
          <cell r="AE5220" t="str">
            <v>05 - ANULADA EN VIGENCIA</v>
          </cell>
          <cell r="AP5220">
            <v>2006190734</v>
          </cell>
        </row>
        <row r="5221">
          <cell r="AE5221" t="str">
            <v>05 - ANULADA EN VIGENCIA</v>
          </cell>
          <cell r="AP5221">
            <v>831747</v>
          </cell>
        </row>
        <row r="5222">
          <cell r="AE5222" t="str">
            <v>01 - RENOVADA</v>
          </cell>
          <cell r="AP5222">
            <v>17012815</v>
          </cell>
        </row>
        <row r="5223">
          <cell r="AE5223" t="str">
            <v>01 - RENOVADA</v>
          </cell>
          <cell r="AP5223">
            <v>220025935</v>
          </cell>
        </row>
        <row r="5224">
          <cell r="AE5224" t="str">
            <v>01 - RENOVADA</v>
          </cell>
          <cell r="AP5224">
            <v>220024453</v>
          </cell>
        </row>
        <row r="5225">
          <cell r="AE5225" t="str">
            <v>04 - NO RENOVADA</v>
          </cell>
          <cell r="AP5225">
            <v>125026</v>
          </cell>
        </row>
        <row r="5226">
          <cell r="AE5226" t="str">
            <v>04 - NO RENOVADA</v>
          </cell>
          <cell r="AP5226">
            <v>62097431</v>
          </cell>
        </row>
        <row r="5227">
          <cell r="AE5227" t="str">
            <v>04 - NO RENOVADA</v>
          </cell>
          <cell r="AP5227">
            <v>121644</v>
          </cell>
        </row>
        <row r="5228">
          <cell r="AE5228" t="str">
            <v>04 - NO RENOVADA</v>
          </cell>
          <cell r="AP5228">
            <v>62094261</v>
          </cell>
        </row>
        <row r="5229">
          <cell r="AE5229" t="str">
            <v>04 - NO RENOVADA</v>
          </cell>
          <cell r="AP5229">
            <v>535635</v>
          </cell>
        </row>
        <row r="5230">
          <cell r="AE5230" t="str">
            <v>04 - NO RENOVADA</v>
          </cell>
          <cell r="AP5230">
            <v>547488</v>
          </cell>
        </row>
        <row r="5231">
          <cell r="AE5231" t="str">
            <v>05 - ANULADA EN VIGENCIA</v>
          </cell>
          <cell r="AP5231">
            <v>70149545</v>
          </cell>
        </row>
        <row r="5232">
          <cell r="AE5232" t="str">
            <v>05 - ANULADA EN VIGENCIA</v>
          </cell>
          <cell r="AP5232">
            <v>6649019</v>
          </cell>
        </row>
        <row r="5233">
          <cell r="AE5233" t="str">
            <v>05 - ANULADA EN VIGENCIA</v>
          </cell>
          <cell r="AP5233" t="str">
            <v>P0258579</v>
          </cell>
        </row>
        <row r="5234">
          <cell r="AE5234" t="str">
            <v>05 - ANULADA EN VIGENCIA</v>
          </cell>
          <cell r="AP5234" t="str">
            <v>S0271901</v>
          </cell>
        </row>
        <row r="5235">
          <cell r="AE5235" t="str">
            <v>05 - ANULADA EN VIGENCIA</v>
          </cell>
          <cell r="AP5235">
            <v>431</v>
          </cell>
        </row>
        <row r="5236">
          <cell r="AE5236" t="str">
            <v>05 - ANULADA EN VIGENCIA</v>
          </cell>
          <cell r="AP5236" t="str">
            <v>E0028678</v>
          </cell>
        </row>
        <row r="5237">
          <cell r="AE5237" t="str">
            <v>05 - ANULADA EN VIGENCIA</v>
          </cell>
          <cell r="AP5237">
            <v>1048776</v>
          </cell>
        </row>
        <row r="5238">
          <cell r="AE5238" t="str">
            <v>05 - ANULADA EN VIGENCIA</v>
          </cell>
          <cell r="AP5238">
            <v>2004669020</v>
          </cell>
        </row>
        <row r="5239">
          <cell r="AE5239" t="str">
            <v>01 - RENOVADA</v>
          </cell>
          <cell r="AP5239">
            <v>548772</v>
          </cell>
        </row>
        <row r="5240">
          <cell r="AE5240" t="str">
            <v>01 - RENOVADA</v>
          </cell>
          <cell r="AP5240">
            <v>510573</v>
          </cell>
        </row>
        <row r="5241">
          <cell r="AE5241" t="str">
            <v>03 - PENDIENTE</v>
          </cell>
          <cell r="AP5241">
            <v>124186</v>
          </cell>
        </row>
        <row r="5242">
          <cell r="AE5242" t="str">
            <v>05 - ANULADA EN VIGENCIA</v>
          </cell>
          <cell r="AP5242">
            <v>1000262519</v>
          </cell>
        </row>
        <row r="5243">
          <cell r="AE5243" t="str">
            <v>05 - ANULADA EN VIGENCIA</v>
          </cell>
          <cell r="AP5243">
            <v>839710</v>
          </cell>
        </row>
        <row r="5244">
          <cell r="AE5244" t="str">
            <v>03 - PENDIENTE</v>
          </cell>
          <cell r="AP5244">
            <v>916352</v>
          </cell>
        </row>
        <row r="5245">
          <cell r="AE5245" t="str">
            <v>03 - PENDIENTE</v>
          </cell>
          <cell r="AP5245">
            <v>1000292662</v>
          </cell>
        </row>
        <row r="5246">
          <cell r="AE5246" t="str">
            <v>05 - ANULADA EN VIGENCIA</v>
          </cell>
          <cell r="AP5246">
            <v>70108220</v>
          </cell>
        </row>
        <row r="5247">
          <cell r="AE5247" t="str">
            <v>05 - ANULADA EN VIGENCIA</v>
          </cell>
          <cell r="AP5247" t="str">
            <v>E0028322</v>
          </cell>
        </row>
        <row r="5248">
          <cell r="AE5248" t="str">
            <v>05 - ANULADA EN VIGENCIA</v>
          </cell>
          <cell r="AP5248">
            <v>46252</v>
          </cell>
        </row>
        <row r="5249">
          <cell r="AE5249" t="str">
            <v>05 - ANULADA EN VIGENCIA</v>
          </cell>
          <cell r="AP5249">
            <v>75087</v>
          </cell>
        </row>
        <row r="5250">
          <cell r="AE5250" t="str">
            <v>01 - RENOVADA</v>
          </cell>
          <cell r="AP5250">
            <v>2032159900079</v>
          </cell>
        </row>
        <row r="5251">
          <cell r="AE5251" t="str">
            <v>05 - ANULADA EN VIGENCIA</v>
          </cell>
          <cell r="AP5251">
            <v>220015562</v>
          </cell>
        </row>
        <row r="5252">
          <cell r="AE5252" t="str">
            <v>05 - ANULADA EN VIGENCIA</v>
          </cell>
          <cell r="AP5252">
            <v>2002383199</v>
          </cell>
        </row>
        <row r="5253">
          <cell r="AE5253" t="str">
            <v>04 - NO RENOVADA</v>
          </cell>
          <cell r="AP5253">
            <v>7752986</v>
          </cell>
        </row>
        <row r="5254">
          <cell r="AE5254" t="str">
            <v>04 - NO RENOVADA</v>
          </cell>
          <cell r="AP5254">
            <v>7753013</v>
          </cell>
        </row>
        <row r="5255">
          <cell r="AE5255" t="str">
            <v>05 - ANULADA EN VIGENCIA</v>
          </cell>
          <cell r="AP5255">
            <v>70155164</v>
          </cell>
        </row>
        <row r="5256">
          <cell r="AE5256" t="str">
            <v>04 - NO RENOVADA</v>
          </cell>
          <cell r="AP5256">
            <v>70165650</v>
          </cell>
        </row>
        <row r="5257">
          <cell r="AE5257" t="str">
            <v>01 - RENOVADA</v>
          </cell>
          <cell r="AP5257">
            <v>70243132</v>
          </cell>
        </row>
        <row r="5258">
          <cell r="AE5258" t="str">
            <v>05 - ANULADA EN VIGENCIA</v>
          </cell>
          <cell r="AP5258">
            <v>1379358</v>
          </cell>
        </row>
        <row r="5259">
          <cell r="AE5259" t="str">
            <v>08 - VIGENCIA ANTERIOR</v>
          </cell>
          <cell r="AP5259">
            <v>1091917</v>
          </cell>
        </row>
        <row r="5260">
          <cell r="AE5260" t="str">
            <v>05 - ANULADA EN VIGENCIA</v>
          </cell>
          <cell r="AP5260">
            <v>1301750</v>
          </cell>
        </row>
        <row r="5261">
          <cell r="AE5261" t="str">
            <v>05 - ANULADA EN VIGENCIA</v>
          </cell>
          <cell r="AP5261">
            <v>2031710100232</v>
          </cell>
        </row>
        <row r="5262">
          <cell r="AE5262" t="str">
            <v>05 - ANULADA EN VIGENCIA</v>
          </cell>
          <cell r="AP5262">
            <v>2221159900011</v>
          </cell>
        </row>
        <row r="5263">
          <cell r="AE5263" t="str">
            <v>05 - ANULADA EN VIGENCIA</v>
          </cell>
          <cell r="AP5263">
            <v>26629</v>
          </cell>
        </row>
        <row r="5264">
          <cell r="AE5264" t="str">
            <v>05 - ANULADA EN VIGENCIA</v>
          </cell>
          <cell r="AP5264">
            <v>601122303</v>
          </cell>
        </row>
        <row r="5265">
          <cell r="AE5265" t="str">
            <v>05 - ANULADA EN VIGENCIA</v>
          </cell>
          <cell r="AP5265" t="str">
            <v>64-00018-2</v>
          </cell>
        </row>
        <row r="5266">
          <cell r="AE5266" t="str">
            <v>01 - RENOVADA</v>
          </cell>
          <cell r="AP5266">
            <v>2009005070</v>
          </cell>
        </row>
        <row r="5267">
          <cell r="AE5267" t="str">
            <v>05 - ANULADA EN VIGENCIA</v>
          </cell>
          <cell r="AP5267">
            <v>46316</v>
          </cell>
        </row>
        <row r="5268">
          <cell r="AE5268" t="str">
            <v>03 - PENDIENTE</v>
          </cell>
          <cell r="AP5268">
            <v>897348</v>
          </cell>
        </row>
        <row r="5269">
          <cell r="AE5269" t="str">
            <v>03 - PENDIENTE</v>
          </cell>
          <cell r="AP5269">
            <v>1000285075</v>
          </cell>
        </row>
        <row r="5270">
          <cell r="AE5270" t="str">
            <v>01 - RENOVADA</v>
          </cell>
          <cell r="AP5270">
            <v>519406</v>
          </cell>
        </row>
        <row r="5271">
          <cell r="AE5271" t="str">
            <v>05 - ANULADA EN VIGENCIA</v>
          </cell>
          <cell r="AP5271">
            <v>17026538</v>
          </cell>
        </row>
        <row r="5272">
          <cell r="AE5272" t="str">
            <v>05 - ANULADA EN VIGENCIA</v>
          </cell>
          <cell r="AP5272">
            <v>17037687</v>
          </cell>
        </row>
        <row r="5273">
          <cell r="AE5273" t="str">
            <v>05 - ANULADA EN VIGENCIA</v>
          </cell>
          <cell r="AP5273">
            <v>17038815</v>
          </cell>
        </row>
        <row r="5274">
          <cell r="AE5274" t="str">
            <v>04 - NO RENOVADA</v>
          </cell>
          <cell r="AP5274">
            <v>16870805</v>
          </cell>
        </row>
        <row r="5275">
          <cell r="AE5275" t="str">
            <v>04 - NO RENOVADA</v>
          </cell>
          <cell r="AP5275">
            <v>554903</v>
          </cell>
        </row>
        <row r="5276">
          <cell r="AE5276" t="str">
            <v>04 - NO RENOVADA</v>
          </cell>
          <cell r="AP5276">
            <v>16932137</v>
          </cell>
        </row>
        <row r="5277">
          <cell r="AE5277" t="str">
            <v>04 - NO RENOVADA</v>
          </cell>
          <cell r="AP5277">
            <v>17012435</v>
          </cell>
        </row>
        <row r="5278">
          <cell r="AE5278" t="str">
            <v>03 - PENDIENTE</v>
          </cell>
          <cell r="AP5278">
            <v>132307</v>
          </cell>
        </row>
        <row r="5279">
          <cell r="AE5279" t="str">
            <v>05 - ANULADA EN VIGENCIA</v>
          </cell>
          <cell r="AP5279">
            <v>60019722</v>
          </cell>
        </row>
        <row r="5280">
          <cell r="AE5280" t="str">
            <v>05 - ANULADA EN VIGENCIA</v>
          </cell>
          <cell r="AP5280">
            <v>600197229</v>
          </cell>
        </row>
        <row r="5281">
          <cell r="AE5281" t="str">
            <v>05 - ANULADA EN VIGENCIA</v>
          </cell>
          <cell r="AP5281">
            <v>13656810</v>
          </cell>
        </row>
        <row r="5282">
          <cell r="AE5282" t="str">
            <v>05 - ANULADA EN VIGENCIA</v>
          </cell>
          <cell r="AP5282">
            <v>17416442</v>
          </cell>
        </row>
        <row r="5283">
          <cell r="AE5283" t="str">
            <v>05 - ANULADA EN VIGENCIA</v>
          </cell>
          <cell r="AP5283">
            <v>6181659900003</v>
          </cell>
        </row>
        <row r="5284">
          <cell r="AE5284" t="str">
            <v>05 - ANULADA EN VIGENCIA</v>
          </cell>
          <cell r="AP5284">
            <v>16842009</v>
          </cell>
        </row>
        <row r="5285">
          <cell r="AE5285" t="str">
            <v>05 - ANULADA EN VIGENCIA</v>
          </cell>
          <cell r="AP5285">
            <v>6101659900171</v>
          </cell>
        </row>
        <row r="5286">
          <cell r="AE5286" t="str">
            <v>05 - ANULADA EN VIGENCIA</v>
          </cell>
          <cell r="AP5286">
            <v>7011659900406</v>
          </cell>
        </row>
        <row r="5287">
          <cell r="AE5287" t="str">
            <v>05 - ANULADA EN VIGENCIA</v>
          </cell>
          <cell r="AP5287">
            <v>7021659900191</v>
          </cell>
        </row>
        <row r="5288">
          <cell r="AE5288" t="str">
            <v>05 - ANULADA EN VIGENCIA</v>
          </cell>
          <cell r="AP5288">
            <v>117858</v>
          </cell>
        </row>
        <row r="5289">
          <cell r="AE5289" t="str">
            <v>05 - ANULADA EN VIGENCIA</v>
          </cell>
          <cell r="AP5289">
            <v>62090758</v>
          </cell>
        </row>
        <row r="5290">
          <cell r="AE5290" t="str">
            <v>05 - ANULADA EN VIGENCIA</v>
          </cell>
          <cell r="AP5290">
            <v>104928</v>
          </cell>
        </row>
        <row r="5291">
          <cell r="AE5291" t="str">
            <v>05 - ANULADA EN VIGENCIA</v>
          </cell>
          <cell r="AP5291">
            <v>16483580</v>
          </cell>
        </row>
        <row r="5292">
          <cell r="AE5292" t="str">
            <v>05 - ANULADA EN VIGENCIA</v>
          </cell>
          <cell r="AP5292">
            <v>16580701</v>
          </cell>
        </row>
        <row r="5293">
          <cell r="AE5293" t="str">
            <v>04 - NO RENOVADA</v>
          </cell>
          <cell r="AP5293">
            <v>81134045</v>
          </cell>
        </row>
        <row r="5294">
          <cell r="AE5294" t="str">
            <v>03 - PENDIENTE</v>
          </cell>
          <cell r="AP5294">
            <v>1300364851</v>
          </cell>
        </row>
        <row r="5295">
          <cell r="AE5295" t="str">
            <v>03 - PENDIENTE</v>
          </cell>
          <cell r="AP5295" t="str">
            <v>P0326897</v>
          </cell>
        </row>
        <row r="5296">
          <cell r="AE5296" t="str">
            <v>03 - PENDIENTE</v>
          </cell>
          <cell r="AP5296" t="str">
            <v>S0412248</v>
          </cell>
        </row>
        <row r="5297">
          <cell r="AE5297" t="str">
            <v>03 - PENDIENTE</v>
          </cell>
          <cell r="AP5297">
            <v>1300363641</v>
          </cell>
        </row>
        <row r="5298">
          <cell r="AE5298" t="str">
            <v>05 - ANULADA EN VIGENCIA</v>
          </cell>
          <cell r="AP5298">
            <v>3002018009179</v>
          </cell>
        </row>
        <row r="5299">
          <cell r="AE5299" t="str">
            <v>05 - ANULADA EN VIGENCIA</v>
          </cell>
          <cell r="AP5299">
            <v>3002018008175</v>
          </cell>
        </row>
        <row r="5300">
          <cell r="AE5300" t="str">
            <v>05 - ANULADA EN VIGENCIA</v>
          </cell>
          <cell r="AP5300">
            <v>3002018006818</v>
          </cell>
        </row>
        <row r="5301">
          <cell r="AE5301" t="str">
            <v>04 - NO RENOVADA</v>
          </cell>
          <cell r="AP5301">
            <v>3002017004250</v>
          </cell>
        </row>
        <row r="5302">
          <cell r="AE5302" t="str">
            <v>04 - NO RENOVADA</v>
          </cell>
          <cell r="AP5302">
            <v>3002019009779</v>
          </cell>
        </row>
        <row r="5303">
          <cell r="AE5303" t="str">
            <v>04 - NO RENOVADA</v>
          </cell>
          <cell r="AP5303">
            <v>3002017003746</v>
          </cell>
        </row>
        <row r="5304">
          <cell r="AE5304" t="str">
            <v>05 - ANULADA EN VIGENCIA</v>
          </cell>
          <cell r="AP5304">
            <v>3002016000482</v>
          </cell>
        </row>
        <row r="5305">
          <cell r="AE5305" t="str">
            <v>05 - ANULADA EN VIGENCIA</v>
          </cell>
          <cell r="AP5305">
            <v>3002017002955</v>
          </cell>
        </row>
        <row r="5306">
          <cell r="AE5306" t="str">
            <v>04 - NO RENOVADA</v>
          </cell>
          <cell r="AP5306">
            <v>3022200160267</v>
          </cell>
        </row>
        <row r="5307">
          <cell r="AE5307" t="str">
            <v>01 - RENOVADA</v>
          </cell>
          <cell r="AP5307">
            <v>70227899</v>
          </cell>
        </row>
        <row r="5308">
          <cell r="AE5308" t="str">
            <v>05 - ANULADA EN VIGENCIA</v>
          </cell>
          <cell r="AP5308">
            <v>44649</v>
          </cell>
        </row>
        <row r="5309">
          <cell r="AE5309" t="str">
            <v>05 - ANULADA EN VIGENCIA</v>
          </cell>
          <cell r="AP5309">
            <v>48504</v>
          </cell>
        </row>
        <row r="5310">
          <cell r="AE5310" t="str">
            <v>05 - ANULADA EN VIGENCIA</v>
          </cell>
          <cell r="AP5310">
            <v>612033714</v>
          </cell>
        </row>
        <row r="5311">
          <cell r="AE5311" t="str">
            <v>05 - ANULADA EN VIGENCIA</v>
          </cell>
          <cell r="AP5311">
            <v>612158897</v>
          </cell>
        </row>
        <row r="5312">
          <cell r="AE5312" t="str">
            <v>05 - ANULADA EN VIGENCIA</v>
          </cell>
          <cell r="AP5312">
            <v>2004947230</v>
          </cell>
        </row>
        <row r="5313">
          <cell r="AE5313" t="str">
            <v>05 - ANULADA EN VIGENCIA</v>
          </cell>
          <cell r="AP5313">
            <v>2009005202</v>
          </cell>
        </row>
        <row r="5314">
          <cell r="AE5314" t="str">
            <v>04 - NO RENOVADA</v>
          </cell>
          <cell r="AP5314">
            <v>17843379</v>
          </cell>
        </row>
        <row r="5315">
          <cell r="AE5315" t="str">
            <v>05 - ANULADA EN VIGENCIA</v>
          </cell>
          <cell r="AP5315">
            <v>2001457843</v>
          </cell>
        </row>
        <row r="5316">
          <cell r="AE5316" t="str">
            <v>01 - RENOVADA</v>
          </cell>
          <cell r="AP5316">
            <v>70216404</v>
          </cell>
        </row>
        <row r="5317">
          <cell r="AE5317" t="str">
            <v>04 - NO RENOVADA</v>
          </cell>
          <cell r="AP5317">
            <v>19903538</v>
          </cell>
        </row>
        <row r="5318">
          <cell r="AE5318" t="str">
            <v>01 - RENOVADA</v>
          </cell>
          <cell r="AP5318">
            <v>70216424</v>
          </cell>
        </row>
        <row r="5319">
          <cell r="AE5319" t="str">
            <v>04 - NO RENOVADA</v>
          </cell>
          <cell r="AP5319">
            <v>17854933</v>
          </cell>
        </row>
        <row r="5320">
          <cell r="AE5320" t="str">
            <v>04 - NO RENOVADA</v>
          </cell>
          <cell r="AP5320">
            <v>115358</v>
          </cell>
        </row>
        <row r="5321">
          <cell r="AE5321" t="str">
            <v>03 - PENDIENTE</v>
          </cell>
          <cell r="AP5321">
            <v>1300232360</v>
          </cell>
        </row>
        <row r="5322">
          <cell r="AE5322" t="str">
            <v>04 - NO RENOVADA</v>
          </cell>
          <cell r="AP5322">
            <v>18424272</v>
          </cell>
        </row>
        <row r="5323">
          <cell r="AE5323" t="str">
            <v>02 - EN PROCESO</v>
          </cell>
          <cell r="AP5323">
            <v>14463187</v>
          </cell>
        </row>
        <row r="5324">
          <cell r="AE5324" t="str">
            <v>03 - PENDIENTE</v>
          </cell>
          <cell r="AP5324">
            <v>13652377</v>
          </cell>
        </row>
        <row r="5325">
          <cell r="AE5325" t="str">
            <v>04 - NO RENOVADA</v>
          </cell>
          <cell r="AP5325">
            <v>19516816</v>
          </cell>
        </row>
        <row r="5326">
          <cell r="AE5326" t="str">
            <v>05 - ANULADA EN VIGENCIA</v>
          </cell>
          <cell r="AP5326">
            <v>1000131455</v>
          </cell>
        </row>
        <row r="5327">
          <cell r="AE5327" t="str">
            <v>05 - ANULADA EN VIGENCIA</v>
          </cell>
          <cell r="AP5327">
            <v>499540</v>
          </cell>
        </row>
        <row r="5328">
          <cell r="AE5328" t="str">
            <v>01 - RENOVADA</v>
          </cell>
          <cell r="AP5328">
            <v>21346949</v>
          </cell>
        </row>
        <row r="5329">
          <cell r="AE5329" t="str">
            <v>05 - ANULADA EN VIGENCIA</v>
          </cell>
          <cell r="AP5329">
            <v>16990223</v>
          </cell>
        </row>
        <row r="5330">
          <cell r="AE5330" t="str">
            <v>05 - ANULADA EN VIGENCIA</v>
          </cell>
          <cell r="AP5330">
            <v>2322315800074</v>
          </cell>
        </row>
        <row r="5331">
          <cell r="AE5331" t="str">
            <v>01 - RENOVADA</v>
          </cell>
          <cell r="AP5331">
            <v>1000219185</v>
          </cell>
        </row>
        <row r="5332">
          <cell r="AE5332" t="str">
            <v>01 - RENOVADA</v>
          </cell>
          <cell r="AP5332">
            <v>730140</v>
          </cell>
        </row>
        <row r="5333">
          <cell r="AE5333" t="str">
            <v>01 - RENOVADA</v>
          </cell>
          <cell r="AP5333">
            <v>6102300001873</v>
          </cell>
        </row>
        <row r="5334">
          <cell r="AE5334" t="str">
            <v>01 - RENOVADA</v>
          </cell>
          <cell r="AP5334">
            <v>21237272</v>
          </cell>
        </row>
        <row r="5335">
          <cell r="AE5335" t="str">
            <v>01 - RENOVADA</v>
          </cell>
          <cell r="AP5335">
            <v>20989643</v>
          </cell>
        </row>
        <row r="5336">
          <cell r="AE5336" t="str">
            <v>04 - NO RENOVADA</v>
          </cell>
          <cell r="AP5336">
            <v>17393799</v>
          </cell>
        </row>
        <row r="5337">
          <cell r="AE5337" t="str">
            <v>01 - RENOVADA</v>
          </cell>
          <cell r="AP5337">
            <v>70215330</v>
          </cell>
        </row>
        <row r="5338">
          <cell r="AE5338" t="str">
            <v>04 - NO RENOVADA</v>
          </cell>
          <cell r="AP5338">
            <v>70126036</v>
          </cell>
        </row>
        <row r="5339">
          <cell r="AE5339" t="str">
            <v>05 - ANULADA EN VIGENCIA</v>
          </cell>
          <cell r="AP5339">
            <v>2000365838</v>
          </cell>
        </row>
        <row r="5340">
          <cell r="AE5340" t="str">
            <v>01 - RENOVADA</v>
          </cell>
          <cell r="AP5340">
            <v>2001976530</v>
          </cell>
        </row>
        <row r="5341">
          <cell r="AE5341" t="str">
            <v>04 - NO RENOVADA</v>
          </cell>
          <cell r="AP5341">
            <v>71668</v>
          </cell>
        </row>
        <row r="5342">
          <cell r="AE5342" t="str">
            <v>04 - NO RENOVADA</v>
          </cell>
          <cell r="AP5342">
            <v>6792508</v>
          </cell>
        </row>
        <row r="5343">
          <cell r="AE5343" t="str">
            <v>04 - NO RENOVADA</v>
          </cell>
          <cell r="AP5343">
            <v>6790939</v>
          </cell>
        </row>
        <row r="5344">
          <cell r="AE5344" t="str">
            <v>04 - NO RENOVADA</v>
          </cell>
          <cell r="AP5344">
            <v>7822997</v>
          </cell>
        </row>
        <row r="5345">
          <cell r="AE5345" t="str">
            <v>01 - RENOVADA</v>
          </cell>
          <cell r="AP5345">
            <v>2010023879</v>
          </cell>
        </row>
        <row r="5346">
          <cell r="AE5346" t="str">
            <v>04 - NO RENOVADA</v>
          </cell>
          <cell r="AP5346">
            <v>7011900089208</v>
          </cell>
        </row>
        <row r="5347">
          <cell r="AE5347" t="str">
            <v>04 - NO RENOVADA</v>
          </cell>
          <cell r="AP5347">
            <v>7021900103317</v>
          </cell>
        </row>
        <row r="5348">
          <cell r="AE5348" t="str">
            <v>05 - ANULADA EN VIGENCIA</v>
          </cell>
          <cell r="AP5348">
            <v>27160</v>
          </cell>
        </row>
        <row r="5349">
          <cell r="AE5349" t="str">
            <v>04 - NO RENOVADA</v>
          </cell>
          <cell r="AP5349">
            <v>91679</v>
          </cell>
        </row>
        <row r="5350">
          <cell r="AE5350" t="str">
            <v>04 - NO RENOVADA</v>
          </cell>
          <cell r="AP5350" t="str">
            <v>P0255050</v>
          </cell>
        </row>
        <row r="5351">
          <cell r="AE5351" t="str">
            <v>04 - NO RENOVADA</v>
          </cell>
          <cell r="AP5351" t="str">
            <v>S0267474</v>
          </cell>
        </row>
        <row r="5352">
          <cell r="AE5352" t="str">
            <v>01 - RENOVADA</v>
          </cell>
          <cell r="AP5352">
            <v>18554480</v>
          </cell>
        </row>
        <row r="5353">
          <cell r="AE5353" t="str">
            <v>01 - RENOVADA</v>
          </cell>
          <cell r="AP5353">
            <v>2008847149</v>
          </cell>
        </row>
        <row r="5354">
          <cell r="AE5354" t="str">
            <v>01 - RENOVADA</v>
          </cell>
          <cell r="AP5354">
            <v>20779404</v>
          </cell>
        </row>
        <row r="5355">
          <cell r="AE5355" t="str">
            <v>05 - ANULADA EN VIGENCIA</v>
          </cell>
          <cell r="AP5355">
            <v>543208</v>
          </cell>
        </row>
        <row r="5356">
          <cell r="AE5356" t="str">
            <v>05 - ANULADA EN VIGENCIA</v>
          </cell>
          <cell r="AP5356">
            <v>538993</v>
          </cell>
        </row>
        <row r="5357">
          <cell r="AE5357" t="str">
            <v>05 - ANULADA EN VIGENCIA</v>
          </cell>
          <cell r="AP5357">
            <v>16515024</v>
          </cell>
        </row>
        <row r="5358">
          <cell r="AE5358" t="str">
            <v>01 - RENOVADA</v>
          </cell>
          <cell r="AP5358" t="str">
            <v>E0037543</v>
          </cell>
        </row>
        <row r="5359">
          <cell r="AE5359" t="str">
            <v>04 - NO RENOVADA</v>
          </cell>
          <cell r="AP5359">
            <v>18427984</v>
          </cell>
        </row>
        <row r="5360">
          <cell r="AE5360" t="str">
            <v>04 - NO RENOVADA</v>
          </cell>
          <cell r="AP5360">
            <v>17375497</v>
          </cell>
        </row>
        <row r="5361">
          <cell r="AE5361" t="str">
            <v>04 - NO RENOVADA</v>
          </cell>
          <cell r="AP5361">
            <v>17438445</v>
          </cell>
        </row>
        <row r="5362">
          <cell r="AE5362" t="str">
            <v>01 - RENOVADA</v>
          </cell>
          <cell r="AP5362">
            <v>1300620053</v>
          </cell>
        </row>
        <row r="5363">
          <cell r="AE5363" t="str">
            <v>03 - PENDIENTE</v>
          </cell>
          <cell r="AP5363">
            <v>1000281657</v>
          </cell>
        </row>
        <row r="5364">
          <cell r="AE5364" t="str">
            <v>03 - PENDIENTE</v>
          </cell>
          <cell r="AP5364">
            <v>887927</v>
          </cell>
        </row>
        <row r="5365">
          <cell r="AE5365" t="str">
            <v>04 - NO RENOVADA</v>
          </cell>
          <cell r="AP5365">
            <v>1300192053</v>
          </cell>
        </row>
        <row r="5366">
          <cell r="AE5366" t="str">
            <v>04 - NO RENOVADA</v>
          </cell>
          <cell r="AP5366">
            <v>102505</v>
          </cell>
        </row>
        <row r="5367">
          <cell r="AE5367" t="str">
            <v>04 - NO RENOVADA</v>
          </cell>
          <cell r="AP5367">
            <v>62075553</v>
          </cell>
        </row>
        <row r="5368">
          <cell r="AE5368" t="str">
            <v>05 - ANULADA EN VIGENCIA</v>
          </cell>
          <cell r="AP5368">
            <v>16660741</v>
          </cell>
        </row>
        <row r="5369">
          <cell r="AE5369" t="str">
            <v>05 - ANULADA EN VIGENCIA</v>
          </cell>
          <cell r="AP5369">
            <v>16670252</v>
          </cell>
        </row>
        <row r="5370">
          <cell r="AE5370" t="str">
            <v>05 - ANULADA EN VIGENCIA</v>
          </cell>
          <cell r="AP5370">
            <v>1286583</v>
          </cell>
        </row>
        <row r="5371">
          <cell r="AE5371" t="str">
            <v>05 - ANULADA EN VIGENCIA</v>
          </cell>
          <cell r="AP5371">
            <v>1371395</v>
          </cell>
        </row>
        <row r="5372">
          <cell r="AE5372" t="str">
            <v>01 - RENOVADA</v>
          </cell>
          <cell r="AP5372">
            <v>1000282043</v>
          </cell>
        </row>
        <row r="5373">
          <cell r="AE5373" t="str">
            <v>01 - RENOVADA</v>
          </cell>
          <cell r="AP5373">
            <v>2514890</v>
          </cell>
        </row>
        <row r="5374">
          <cell r="AE5374" t="str">
            <v>05 - ANULADA EN VIGENCIA</v>
          </cell>
          <cell r="AP5374">
            <v>888922</v>
          </cell>
        </row>
        <row r="5375">
          <cell r="AE5375" t="str">
            <v>03 - PENDIENTE</v>
          </cell>
          <cell r="AP5375">
            <v>911959</v>
          </cell>
        </row>
        <row r="5376">
          <cell r="AE5376" t="str">
            <v>03 - PENDIENTE</v>
          </cell>
          <cell r="AP5376">
            <v>1000290931</v>
          </cell>
        </row>
        <row r="5377">
          <cell r="AE5377" t="str">
            <v>05 - ANULADA EN VIGENCIA</v>
          </cell>
          <cell r="AP5377">
            <v>687962</v>
          </cell>
        </row>
        <row r="5378">
          <cell r="AE5378" t="str">
            <v>05 - ANULADA EN VIGENCIA</v>
          </cell>
          <cell r="AP5378">
            <v>1000202763</v>
          </cell>
        </row>
        <row r="5379">
          <cell r="AE5379" t="str">
            <v>05 - ANULADA EN VIGENCIA</v>
          </cell>
          <cell r="AP5379">
            <v>1000236134</v>
          </cell>
        </row>
        <row r="5380">
          <cell r="AE5380" t="str">
            <v>05 - ANULADA EN VIGENCIA</v>
          </cell>
          <cell r="AP5380">
            <v>773854</v>
          </cell>
        </row>
        <row r="5381">
          <cell r="AE5381" t="str">
            <v>05 - ANULADA EN VIGENCIA</v>
          </cell>
          <cell r="AP5381" t="str">
            <v>E0029004</v>
          </cell>
        </row>
        <row r="5382">
          <cell r="AE5382" t="str">
            <v>05 - ANULADA EN VIGENCIA</v>
          </cell>
          <cell r="AP5382">
            <v>468</v>
          </cell>
        </row>
        <row r="5383">
          <cell r="AE5383" t="str">
            <v>05 - ANULADA EN VIGENCIA</v>
          </cell>
          <cell r="AP5383">
            <v>1096693</v>
          </cell>
        </row>
        <row r="5384">
          <cell r="AE5384" t="str">
            <v>04 - NO RENOVADA</v>
          </cell>
          <cell r="AP5384">
            <v>1301753</v>
          </cell>
        </row>
        <row r="5385">
          <cell r="AE5385" t="str">
            <v>05 - ANULADA EN VIGENCIA</v>
          </cell>
          <cell r="AP5385">
            <v>1129155</v>
          </cell>
        </row>
        <row r="5386">
          <cell r="AE5386" t="str">
            <v>05 - ANULADA EN VIGENCIA</v>
          </cell>
          <cell r="AP5386">
            <v>620100820</v>
          </cell>
        </row>
        <row r="5387">
          <cell r="AE5387" t="str">
            <v>01 - RENOVADA</v>
          </cell>
          <cell r="AP5387">
            <v>230264974</v>
          </cell>
        </row>
        <row r="5388">
          <cell r="AE5388" t="str">
            <v>04 - NO RENOVADA</v>
          </cell>
          <cell r="AP5388">
            <v>16478996</v>
          </cell>
        </row>
        <row r="5389">
          <cell r="AE5389" t="str">
            <v>05 - ANULADA EN VIGENCIA</v>
          </cell>
          <cell r="AP5389">
            <v>16669587</v>
          </cell>
        </row>
        <row r="5390">
          <cell r="AE5390" t="str">
            <v>03 - PENDIENTE</v>
          </cell>
          <cell r="AP5390">
            <v>1300363645</v>
          </cell>
        </row>
        <row r="5391">
          <cell r="AE5391" t="str">
            <v>04 - NO RENOVADA</v>
          </cell>
          <cell r="AP5391" t="str">
            <v>P0282151</v>
          </cell>
        </row>
        <row r="5392">
          <cell r="AE5392" t="str">
            <v>04 - NO RENOVADA</v>
          </cell>
          <cell r="AP5392" t="str">
            <v>S0342382</v>
          </cell>
        </row>
        <row r="5393">
          <cell r="AE5393" t="str">
            <v>03 - PENDIENTE</v>
          </cell>
          <cell r="AP5393">
            <v>1300363649</v>
          </cell>
        </row>
        <row r="5394">
          <cell r="AE5394" t="str">
            <v>01 - RENOVADA</v>
          </cell>
          <cell r="AP5394">
            <v>1300374260</v>
          </cell>
        </row>
        <row r="5395">
          <cell r="AE5395" t="str">
            <v>01 - RENOVADA</v>
          </cell>
          <cell r="AP5395" t="str">
            <v>E0028123</v>
          </cell>
        </row>
        <row r="5396">
          <cell r="AE5396" t="str">
            <v>07 - DEVUELTO A AON</v>
          </cell>
          <cell r="AP5396">
            <v>74916539</v>
          </cell>
        </row>
        <row r="5397">
          <cell r="AE5397" t="str">
            <v>07 - DEVUELTO A AON</v>
          </cell>
          <cell r="AP5397">
            <v>74916544</v>
          </cell>
        </row>
        <row r="5398">
          <cell r="AE5398" t="str">
            <v>04 - NO RENOVADA</v>
          </cell>
          <cell r="AP5398" t="str">
            <v>P0283793</v>
          </cell>
        </row>
        <row r="5399">
          <cell r="AE5399" t="str">
            <v>04 - NO RENOVADA</v>
          </cell>
          <cell r="AP5399" t="str">
            <v>S0345100</v>
          </cell>
        </row>
        <row r="5400">
          <cell r="AE5400" t="str">
            <v>04 - NO RENOVADA</v>
          </cell>
          <cell r="AP5400">
            <v>17925306</v>
          </cell>
        </row>
        <row r="5401">
          <cell r="AE5401" t="str">
            <v>04 - NO RENOVADA</v>
          </cell>
          <cell r="AP5401">
            <v>18005482</v>
          </cell>
        </row>
        <row r="5402">
          <cell r="AE5402" t="str">
            <v>05 - ANULADA EN VIGENCIA</v>
          </cell>
          <cell r="AP5402">
            <v>7654</v>
          </cell>
        </row>
        <row r="5403">
          <cell r="AE5403" t="str">
            <v>05 - ANULADA EN VIGENCIA</v>
          </cell>
          <cell r="AP5403">
            <v>9694</v>
          </cell>
        </row>
        <row r="5404">
          <cell r="AE5404" t="str">
            <v>04 - NO RENOVADA</v>
          </cell>
          <cell r="AP5404">
            <v>17414330</v>
          </cell>
        </row>
        <row r="5405">
          <cell r="AE5405" t="str">
            <v>04 - NO RENOVADA</v>
          </cell>
          <cell r="AP5405">
            <v>17415204</v>
          </cell>
        </row>
        <row r="5406">
          <cell r="AE5406" t="str">
            <v>04 - NO RENOVADA</v>
          </cell>
          <cell r="AP5406">
            <v>17416164</v>
          </cell>
        </row>
        <row r="5407">
          <cell r="AE5407" t="str">
            <v>04 - NO RENOVADA</v>
          </cell>
          <cell r="AP5407">
            <v>17416414</v>
          </cell>
        </row>
        <row r="5408">
          <cell r="AE5408" t="str">
            <v>04 - NO RENOVADA</v>
          </cell>
          <cell r="AP5408">
            <v>17424635</v>
          </cell>
        </row>
        <row r="5409">
          <cell r="AE5409" t="str">
            <v>04 - NO RENOVADA</v>
          </cell>
          <cell r="AP5409">
            <v>17435670</v>
          </cell>
        </row>
        <row r="5410">
          <cell r="AE5410" t="str">
            <v>04 - NO RENOVADA</v>
          </cell>
          <cell r="AP5410">
            <v>17455353</v>
          </cell>
        </row>
        <row r="5411">
          <cell r="AE5411" t="str">
            <v>04 - NO RENOVADA</v>
          </cell>
          <cell r="AP5411">
            <v>112084</v>
          </cell>
        </row>
        <row r="5412">
          <cell r="AE5412" t="str">
            <v>01 - RENOVADA</v>
          </cell>
          <cell r="AP5412">
            <v>20793992</v>
          </cell>
        </row>
        <row r="5413">
          <cell r="AE5413" t="str">
            <v>04 - NO RENOVADA</v>
          </cell>
          <cell r="AP5413">
            <v>19958091</v>
          </cell>
        </row>
        <row r="5414">
          <cell r="AE5414" t="str">
            <v>04 - NO RENOVADA</v>
          </cell>
          <cell r="AP5414">
            <v>19958116</v>
          </cell>
        </row>
        <row r="5415">
          <cell r="AE5415" t="str">
            <v>04 - NO RENOVADA</v>
          </cell>
          <cell r="AP5415">
            <v>20127570</v>
          </cell>
        </row>
        <row r="5416">
          <cell r="AE5416" t="str">
            <v>04 - NO RENOVADA</v>
          </cell>
          <cell r="AP5416">
            <v>20029164</v>
          </cell>
        </row>
        <row r="5417">
          <cell r="AE5417" t="str">
            <v>03 - PENDIENTE</v>
          </cell>
          <cell r="AP5417">
            <v>2402510104111</v>
          </cell>
        </row>
        <row r="5418">
          <cell r="AE5418" t="str">
            <v>03 - PENDIENTE</v>
          </cell>
          <cell r="AP5418">
            <v>20801161</v>
          </cell>
        </row>
        <row r="5419">
          <cell r="AE5419" t="str">
            <v>03 - PENDIENTE</v>
          </cell>
          <cell r="AP5419">
            <v>20843900</v>
          </cell>
        </row>
        <row r="5420">
          <cell r="AE5420" t="str">
            <v>01 - RENOVADA</v>
          </cell>
          <cell r="AP5420">
            <v>220027409</v>
          </cell>
        </row>
        <row r="5421">
          <cell r="AE5421" t="str">
            <v>05 - ANULADA EN VIGENCIA</v>
          </cell>
          <cell r="AP5421">
            <v>2009556406</v>
          </cell>
        </row>
        <row r="5422">
          <cell r="AE5422" t="str">
            <v>01 - RENOVADA</v>
          </cell>
          <cell r="AP5422">
            <v>1413985</v>
          </cell>
        </row>
        <row r="5423">
          <cell r="AE5423" t="str">
            <v>05 - ANULADA EN VIGENCIA</v>
          </cell>
          <cell r="AP5423">
            <v>1427962</v>
          </cell>
        </row>
        <row r="5424">
          <cell r="AE5424" t="str">
            <v>01 - RENOVADA</v>
          </cell>
          <cell r="AP5424">
            <v>6000028666</v>
          </cell>
        </row>
        <row r="5425">
          <cell r="AE5425" t="str">
            <v>01 - RENOVADA</v>
          </cell>
          <cell r="AP5425">
            <v>21131364</v>
          </cell>
        </row>
        <row r="5426">
          <cell r="AE5426" t="str">
            <v>01 - RENOVADA</v>
          </cell>
          <cell r="AP5426">
            <v>21150921</v>
          </cell>
        </row>
        <row r="5427">
          <cell r="AE5427" t="str">
            <v>04 - NO RENOVADA</v>
          </cell>
          <cell r="AP5427">
            <v>220011254</v>
          </cell>
        </row>
        <row r="5428">
          <cell r="AE5428" t="str">
            <v>04 - NO RENOVADA</v>
          </cell>
          <cell r="AP5428">
            <v>220011253</v>
          </cell>
        </row>
        <row r="5429">
          <cell r="AE5429" t="str">
            <v>05 - ANULADA EN VIGENCIA</v>
          </cell>
          <cell r="AP5429">
            <v>2010767722</v>
          </cell>
        </row>
        <row r="5430">
          <cell r="AE5430" t="str">
            <v>01 - RENOVADA</v>
          </cell>
          <cell r="AP5430">
            <v>2011037014</v>
          </cell>
        </row>
        <row r="5431">
          <cell r="AE5431" t="str">
            <v>01 - RENOVADA</v>
          </cell>
          <cell r="AP5431">
            <v>9529</v>
          </cell>
        </row>
        <row r="5432">
          <cell r="AE5432" t="str">
            <v>01 - RENOVADA</v>
          </cell>
          <cell r="AP5432" t="str">
            <v>E0038819</v>
          </cell>
        </row>
        <row r="5433">
          <cell r="AE5433" t="str">
            <v>05 - ANULADA EN VIGENCIA</v>
          </cell>
          <cell r="AP5433">
            <v>83004</v>
          </cell>
        </row>
        <row r="5434">
          <cell r="AE5434" t="str">
            <v>04 - NO RENOVADA</v>
          </cell>
          <cell r="AP5434">
            <v>110418</v>
          </cell>
        </row>
        <row r="5435">
          <cell r="AE5435" t="str">
            <v>04 - NO RENOVADA</v>
          </cell>
          <cell r="AP5435">
            <v>62083682</v>
          </cell>
        </row>
        <row r="5436">
          <cell r="AE5436" t="str">
            <v>04 - NO RENOVADA</v>
          </cell>
          <cell r="AP5436">
            <v>70112601</v>
          </cell>
        </row>
        <row r="5437">
          <cell r="AE5437" t="str">
            <v>01 - RENOVADA</v>
          </cell>
          <cell r="AP5437">
            <v>126184</v>
          </cell>
        </row>
        <row r="5438">
          <cell r="AE5438" t="str">
            <v>05 - ANULADA EN VIGENCIA</v>
          </cell>
          <cell r="AP5438">
            <v>118197</v>
          </cell>
        </row>
        <row r="5439">
          <cell r="AE5439" t="str">
            <v>04 - NO RENOVADA</v>
          </cell>
          <cell r="AP5439">
            <v>220020391</v>
          </cell>
        </row>
        <row r="5440">
          <cell r="AE5440" t="str">
            <v>04 - NO RENOVADA</v>
          </cell>
          <cell r="AP5440" t="str">
            <v>P0191015</v>
          </cell>
        </row>
        <row r="5441">
          <cell r="AE5441" t="str">
            <v>04 - NO RENOVADA</v>
          </cell>
          <cell r="AP5441" t="str">
            <v>S0187753</v>
          </cell>
        </row>
        <row r="5442">
          <cell r="AE5442" t="str">
            <v>01 - RENOVADA</v>
          </cell>
          <cell r="AP5442">
            <v>220027715</v>
          </cell>
        </row>
        <row r="5443">
          <cell r="AE5443" t="str">
            <v>01 - RENOVADA</v>
          </cell>
          <cell r="AP5443">
            <v>220027718</v>
          </cell>
        </row>
        <row r="5444">
          <cell r="AE5444" t="str">
            <v>04 - NO RENOVADA</v>
          </cell>
          <cell r="AP5444">
            <v>230253255</v>
          </cell>
        </row>
        <row r="5445">
          <cell r="AE5445" t="str">
            <v>01 - RENOVADA</v>
          </cell>
          <cell r="AP5445">
            <v>70218288</v>
          </cell>
        </row>
        <row r="5446">
          <cell r="AE5446" t="str">
            <v>01 - RENOVADA</v>
          </cell>
          <cell r="AP5446">
            <v>21148565</v>
          </cell>
        </row>
        <row r="5447">
          <cell r="AE5447" t="str">
            <v>05 - ANULADA EN VIGENCIA</v>
          </cell>
          <cell r="AP5447">
            <v>531977</v>
          </cell>
        </row>
        <row r="5448">
          <cell r="AE5448" t="str">
            <v>01 - RENOVADA</v>
          </cell>
          <cell r="AP5448">
            <v>220019318</v>
          </cell>
        </row>
        <row r="5449">
          <cell r="AE5449" t="str">
            <v>01 - RENOVADA</v>
          </cell>
          <cell r="AP5449">
            <v>1426544</v>
          </cell>
        </row>
        <row r="5450">
          <cell r="AE5450" t="str">
            <v>04 - NO RENOVADA</v>
          </cell>
          <cell r="AP5450">
            <v>71378737</v>
          </cell>
        </row>
        <row r="5451">
          <cell r="AE5451" t="str">
            <v>03 - PENDIENTE</v>
          </cell>
          <cell r="AP5451">
            <v>92391</v>
          </cell>
        </row>
        <row r="5452">
          <cell r="AE5452" t="str">
            <v>04 - NO RENOVADA</v>
          </cell>
          <cell r="AP5452">
            <v>20553916</v>
          </cell>
        </row>
        <row r="5453">
          <cell r="AE5453" t="str">
            <v>05 - ANULADA EN VIGENCIA</v>
          </cell>
          <cell r="AP5453">
            <v>1130137</v>
          </cell>
        </row>
        <row r="5454">
          <cell r="AE5454" t="str">
            <v>05 - ANULADA EN VIGENCIA</v>
          </cell>
          <cell r="AP5454">
            <v>62101796</v>
          </cell>
        </row>
        <row r="5455">
          <cell r="AE5455" t="str">
            <v>05 - ANULADA EN VIGENCIA</v>
          </cell>
          <cell r="AP5455">
            <v>17005456</v>
          </cell>
        </row>
        <row r="5456">
          <cell r="AE5456" t="str">
            <v>05 - ANULADA EN VIGENCIA</v>
          </cell>
          <cell r="AP5456">
            <v>230235126</v>
          </cell>
        </row>
        <row r="5457">
          <cell r="AE5457" t="str">
            <v>01 - RENOVADA</v>
          </cell>
          <cell r="AP5457">
            <v>7012100125606</v>
          </cell>
        </row>
        <row r="5458">
          <cell r="AE5458" t="str">
            <v>01 - RENOVADA</v>
          </cell>
          <cell r="AP5458">
            <v>7022100146704</v>
          </cell>
        </row>
        <row r="5459">
          <cell r="AE5459" t="str">
            <v>05 - ANULADA EN VIGENCIA</v>
          </cell>
          <cell r="AP5459">
            <v>220020386</v>
          </cell>
        </row>
        <row r="5460">
          <cell r="AE5460" t="str">
            <v>05 - ANULADA EN VIGENCIA</v>
          </cell>
          <cell r="AP5460">
            <v>16775201</v>
          </cell>
        </row>
        <row r="5461">
          <cell r="AE5461" t="str">
            <v>01 - RENOVADA</v>
          </cell>
          <cell r="AP5461">
            <v>1575646</v>
          </cell>
        </row>
        <row r="5462">
          <cell r="AE5462" t="str">
            <v>05 - ANULADA EN VIGENCIA</v>
          </cell>
          <cell r="AP5462">
            <v>2402259900108</v>
          </cell>
        </row>
        <row r="5463">
          <cell r="AE5463" t="str">
            <v>05 - ANULADA EN VIGENCIA</v>
          </cell>
          <cell r="AP5463">
            <v>2402259900148</v>
          </cell>
        </row>
        <row r="5464">
          <cell r="AE5464" t="str">
            <v>01 - RENOVADA</v>
          </cell>
          <cell r="AP5464">
            <v>2010718126</v>
          </cell>
        </row>
        <row r="5465">
          <cell r="AE5465" t="str">
            <v>01 - RENOVADA</v>
          </cell>
          <cell r="AP5465">
            <v>2010774192</v>
          </cell>
        </row>
        <row r="5466">
          <cell r="AE5466" t="str">
            <v>01 - RENOVADA</v>
          </cell>
          <cell r="AP5466">
            <v>131204</v>
          </cell>
        </row>
        <row r="5467">
          <cell r="AE5467" t="str">
            <v>05 - ANULADA EN VIGENCIA</v>
          </cell>
          <cell r="AP5467">
            <v>90686555</v>
          </cell>
        </row>
        <row r="5468">
          <cell r="AE5468" t="str">
            <v>07 - DEVUELTO A AON</v>
          </cell>
          <cell r="AP5468">
            <v>62088893</v>
          </cell>
        </row>
        <row r="5469">
          <cell r="AE5469" t="str">
            <v>07 - DEVUELTO A AON</v>
          </cell>
          <cell r="AP5469">
            <v>98251</v>
          </cell>
        </row>
        <row r="5470">
          <cell r="AE5470" t="str">
            <v>07 - DEVUELTO A AON</v>
          </cell>
          <cell r="AP5470">
            <v>115885</v>
          </cell>
        </row>
        <row r="5471">
          <cell r="AE5471" t="str">
            <v>04 - NO RENOVADA</v>
          </cell>
          <cell r="AP5471">
            <v>5109544263</v>
          </cell>
        </row>
        <row r="5472">
          <cell r="AE5472" t="str">
            <v>01 - RENOVADA</v>
          </cell>
          <cell r="AP5472">
            <v>130687</v>
          </cell>
        </row>
        <row r="5473">
          <cell r="AE5473" t="str">
            <v>05 - ANULADA EN VIGENCIA</v>
          </cell>
          <cell r="AP5473">
            <v>612037322</v>
          </cell>
        </row>
        <row r="5474">
          <cell r="AE5474" t="str">
            <v>01 - RENOVADA</v>
          </cell>
          <cell r="AP5474">
            <v>2010768063</v>
          </cell>
        </row>
        <row r="5475">
          <cell r="AE5475" t="str">
            <v>01 - RENOVADA</v>
          </cell>
          <cell r="AP5475">
            <v>3197</v>
          </cell>
        </row>
        <row r="5476">
          <cell r="AE5476" t="str">
            <v>01 - RENOVADA</v>
          </cell>
          <cell r="AP5476" t="str">
            <v>E0033255</v>
          </cell>
        </row>
        <row r="5477">
          <cell r="AE5477" t="str">
            <v>01 - RENOVADA</v>
          </cell>
          <cell r="AP5477">
            <v>67920</v>
          </cell>
        </row>
        <row r="5478">
          <cell r="AE5478" t="str">
            <v>01 - RENOVADA</v>
          </cell>
          <cell r="AP5478">
            <v>70210533</v>
          </cell>
        </row>
        <row r="5479">
          <cell r="AE5479" t="str">
            <v>01 - RENOVADA</v>
          </cell>
          <cell r="AP5479">
            <v>21334366</v>
          </cell>
        </row>
        <row r="5480">
          <cell r="AE5480" t="str">
            <v>01 - RENOVADA</v>
          </cell>
          <cell r="AP5480">
            <v>17242869</v>
          </cell>
        </row>
        <row r="5481">
          <cell r="AE5481" t="str">
            <v>03 - PENDIENTE</v>
          </cell>
          <cell r="AP5481">
            <v>20113203</v>
          </cell>
        </row>
        <row r="5482">
          <cell r="AE5482" t="str">
            <v>01 - RENOVADA</v>
          </cell>
          <cell r="AP5482">
            <v>70249928</v>
          </cell>
        </row>
        <row r="5483">
          <cell r="AE5483" t="str">
            <v>01 - RENOVADA</v>
          </cell>
          <cell r="AP5483">
            <v>15180611</v>
          </cell>
        </row>
        <row r="5484">
          <cell r="AE5484" t="str">
            <v>04 - NO RENOVADA</v>
          </cell>
          <cell r="AP5484">
            <v>1000231806</v>
          </cell>
        </row>
        <row r="5485">
          <cell r="AE5485" t="str">
            <v>04 - NO RENOVADA</v>
          </cell>
          <cell r="AP5485">
            <v>762348</v>
          </cell>
        </row>
        <row r="5486">
          <cell r="AE5486" t="str">
            <v>03 - PENDIENTE</v>
          </cell>
          <cell r="AP5486">
            <v>21041848</v>
          </cell>
        </row>
        <row r="5487">
          <cell r="AE5487" t="str">
            <v>04 - NO RENOVADA</v>
          </cell>
          <cell r="AP5487">
            <v>17106467</v>
          </cell>
        </row>
        <row r="5488">
          <cell r="AE5488" t="str">
            <v>04 - NO RENOVADA</v>
          </cell>
          <cell r="AP5488">
            <v>17296937</v>
          </cell>
        </row>
        <row r="5489">
          <cell r="AE5489" t="str">
            <v>04 - NO RENOVADA</v>
          </cell>
          <cell r="AP5489">
            <v>17471298</v>
          </cell>
        </row>
        <row r="5490">
          <cell r="AE5490" t="str">
            <v>04 - NO RENOVADA</v>
          </cell>
          <cell r="AP5490">
            <v>79797</v>
          </cell>
        </row>
        <row r="5491">
          <cell r="AE5491" t="str">
            <v>05 - ANULADA EN VIGENCIA</v>
          </cell>
          <cell r="AP5491">
            <v>2010774380</v>
          </cell>
        </row>
        <row r="5492">
          <cell r="AE5492" t="str">
            <v>01 - RENOVADA</v>
          </cell>
          <cell r="AP5492">
            <v>125029</v>
          </cell>
        </row>
        <row r="5493">
          <cell r="AE5493" t="str">
            <v>01 - RENOVADA</v>
          </cell>
          <cell r="AP5493">
            <v>18976640</v>
          </cell>
        </row>
        <row r="5494">
          <cell r="AE5494" t="str">
            <v>05 - ANULADA EN VIGENCIA</v>
          </cell>
          <cell r="AP5494">
            <v>18381081</v>
          </cell>
        </row>
        <row r="5495">
          <cell r="AE5495" t="str">
            <v>05 - ANULADA EN VIGENCIA</v>
          </cell>
          <cell r="AP5495">
            <v>82042</v>
          </cell>
        </row>
        <row r="5496">
          <cell r="AE5496" t="str">
            <v>01 - RENOVADA</v>
          </cell>
          <cell r="AP5496">
            <v>602671494</v>
          </cell>
        </row>
        <row r="5497">
          <cell r="AE5497" t="str">
            <v>04 - NO RENOVADA</v>
          </cell>
          <cell r="AP5497">
            <v>70115712</v>
          </cell>
        </row>
        <row r="5498">
          <cell r="AE5498" t="str">
            <v>05 - ANULADA EN VIGENCIA</v>
          </cell>
          <cell r="AP5498">
            <v>70143133</v>
          </cell>
        </row>
        <row r="5499">
          <cell r="AE5499" t="str">
            <v>05 - ANULADA EN VIGENCIA</v>
          </cell>
          <cell r="AP5499">
            <v>70150274</v>
          </cell>
        </row>
        <row r="5500">
          <cell r="AE5500" t="str">
            <v>05 - ANULADA EN VIGENCIA</v>
          </cell>
          <cell r="AP5500">
            <v>3012200059938</v>
          </cell>
        </row>
        <row r="5501">
          <cell r="AE5501" t="str">
            <v>04 - NO RENOVADA</v>
          </cell>
          <cell r="AP5501" t="str">
            <v>P0287246</v>
          </cell>
        </row>
        <row r="5502">
          <cell r="AE5502" t="str">
            <v>04 - NO RENOVADA</v>
          </cell>
          <cell r="AP5502" t="str">
            <v>S0350529</v>
          </cell>
        </row>
        <row r="5503">
          <cell r="AE5503" t="str">
            <v>04 - NO RENOVADA</v>
          </cell>
          <cell r="AP5503">
            <v>115035</v>
          </cell>
        </row>
        <row r="5504">
          <cell r="AE5504" t="str">
            <v>04 - NO RENOVADA</v>
          </cell>
          <cell r="AP5504">
            <v>112209</v>
          </cell>
        </row>
        <row r="5505">
          <cell r="AE5505" t="str">
            <v>04 - NO RENOVADA</v>
          </cell>
          <cell r="AP5505" t="str">
            <v>P0281945</v>
          </cell>
        </row>
        <row r="5506">
          <cell r="AE5506" t="str">
            <v>04 - NO RENOVADA</v>
          </cell>
          <cell r="AP5506" t="str">
            <v>S0342057</v>
          </cell>
        </row>
        <row r="5507">
          <cell r="AE5507" t="str">
            <v>01 - RENOVADA</v>
          </cell>
          <cell r="AP5507">
            <v>131205</v>
          </cell>
        </row>
        <row r="5508">
          <cell r="AE5508" t="str">
            <v>05 - ANULADA EN VIGENCIA</v>
          </cell>
          <cell r="AP5508">
            <v>17035230</v>
          </cell>
        </row>
        <row r="5509">
          <cell r="AE5509" t="str">
            <v>05 - ANULADA EN VIGENCIA</v>
          </cell>
          <cell r="AP5509" t="str">
            <v>P0200165</v>
          </cell>
        </row>
        <row r="5510">
          <cell r="AE5510" t="str">
            <v>05 - ANULADA EN VIGENCIA</v>
          </cell>
          <cell r="AP5510" t="str">
            <v>S0198818</v>
          </cell>
        </row>
        <row r="5511">
          <cell r="AE5511" t="str">
            <v>05 - ANULADA EN VIGENCIA</v>
          </cell>
          <cell r="AP5511">
            <v>39241094</v>
          </cell>
        </row>
        <row r="5512">
          <cell r="AE5512" t="str">
            <v>05 - ANULADA EN VIGENCIA</v>
          </cell>
          <cell r="AP5512">
            <v>39241114</v>
          </cell>
        </row>
        <row r="5513">
          <cell r="AE5513" t="str">
            <v>05 - ANULADA EN VIGENCIA</v>
          </cell>
          <cell r="AP5513">
            <v>7012100092324</v>
          </cell>
        </row>
        <row r="5514">
          <cell r="AE5514" t="str">
            <v>05 - ANULADA EN VIGENCIA</v>
          </cell>
          <cell r="AP5514">
            <v>7022100108072</v>
          </cell>
        </row>
        <row r="5515">
          <cell r="AE5515" t="str">
            <v>05 - ANULADA EN VIGENCIA</v>
          </cell>
          <cell r="AP5515" t="str">
            <v>E0023046</v>
          </cell>
        </row>
        <row r="5516">
          <cell r="AE5516" t="str">
            <v>05 - ANULADA EN VIGENCIA</v>
          </cell>
          <cell r="AP5516">
            <v>39129</v>
          </cell>
        </row>
        <row r="5517">
          <cell r="AE5517" t="str">
            <v>05 - ANULADA EN VIGENCIA</v>
          </cell>
          <cell r="AP5517" t="str">
            <v>64-00001-3</v>
          </cell>
        </row>
        <row r="5518">
          <cell r="AE5518" t="str">
            <v>01 - RENOVADA</v>
          </cell>
          <cell r="AP5518">
            <v>1573365</v>
          </cell>
        </row>
        <row r="5519">
          <cell r="AE5519" t="str">
            <v>05 - ANULADA EN VIGENCIA</v>
          </cell>
          <cell r="AP5519">
            <v>15876137</v>
          </cell>
        </row>
        <row r="5520">
          <cell r="AE5520" t="str">
            <v>01 - RENOVADA</v>
          </cell>
          <cell r="AP5520">
            <v>479774</v>
          </cell>
        </row>
        <row r="5521">
          <cell r="AE5521" t="str">
            <v>01 - RENOVADA</v>
          </cell>
          <cell r="AP5521">
            <v>1000124391</v>
          </cell>
        </row>
        <row r="5522">
          <cell r="AE5522" t="str">
            <v>01 - RENOVADA</v>
          </cell>
          <cell r="AP5522">
            <v>15867457</v>
          </cell>
        </row>
        <row r="5523">
          <cell r="AE5523" t="str">
            <v>01 - RENOVADA</v>
          </cell>
          <cell r="AP5523">
            <v>1503477</v>
          </cell>
        </row>
        <row r="5524">
          <cell r="AE5524" t="str">
            <v>01 - RENOVADA</v>
          </cell>
          <cell r="AP5524">
            <v>9554157</v>
          </cell>
        </row>
        <row r="5525">
          <cell r="AE5525" t="str">
            <v>04 - NO RENOVADA</v>
          </cell>
          <cell r="AP5525">
            <v>3022400101407</v>
          </cell>
        </row>
        <row r="5526">
          <cell r="AE5526" t="str">
            <v>03 - PENDIENTE</v>
          </cell>
          <cell r="AP5526">
            <v>6102210102595</v>
          </cell>
        </row>
        <row r="5527">
          <cell r="AE5527" t="str">
            <v>04 - NO RENOVADA</v>
          </cell>
          <cell r="AP5527">
            <v>70173102</v>
          </cell>
        </row>
        <row r="5528">
          <cell r="AE5528" t="str">
            <v>01 - RENOVADA</v>
          </cell>
          <cell r="AP5528">
            <v>70228554</v>
          </cell>
        </row>
        <row r="5529">
          <cell r="AE5529" t="str">
            <v>01 - RENOVADA</v>
          </cell>
          <cell r="AP5529">
            <v>70229950</v>
          </cell>
        </row>
        <row r="5530">
          <cell r="AE5530" t="str">
            <v>01 - RENOVADA</v>
          </cell>
          <cell r="AP5530">
            <v>70232229</v>
          </cell>
        </row>
        <row r="5531">
          <cell r="AE5531" t="str">
            <v>01 - RENOVADA</v>
          </cell>
          <cell r="AP5531">
            <v>70233875</v>
          </cell>
        </row>
        <row r="5532">
          <cell r="AE5532" t="str">
            <v>01 - RENOVADA</v>
          </cell>
          <cell r="AP5532">
            <v>3022500106112</v>
          </cell>
        </row>
        <row r="5533">
          <cell r="AE5533" t="str">
            <v>04 - NO RENOVADA</v>
          </cell>
          <cell r="AP5533">
            <v>70146665</v>
          </cell>
        </row>
        <row r="5534">
          <cell r="AE5534" t="str">
            <v>01 - RENOVADA</v>
          </cell>
          <cell r="AP5534">
            <v>3012300044009</v>
          </cell>
        </row>
        <row r="5535">
          <cell r="AE5535" t="str">
            <v>01 - RENOVADA</v>
          </cell>
          <cell r="AP5535">
            <v>3012300044012</v>
          </cell>
        </row>
        <row r="5536">
          <cell r="AE5536" t="str">
            <v>03 - PENDIENTE</v>
          </cell>
          <cell r="AP5536">
            <v>47979</v>
          </cell>
        </row>
        <row r="5537">
          <cell r="AE5537" t="str">
            <v>03 - PENDIENTE</v>
          </cell>
          <cell r="AP5537">
            <v>47981</v>
          </cell>
        </row>
        <row r="5538">
          <cell r="AE5538" t="str">
            <v>04 - NO RENOVADA</v>
          </cell>
          <cell r="AP5538">
            <v>17542834</v>
          </cell>
        </row>
        <row r="5539">
          <cell r="AE5539" t="str">
            <v>01 - RENOVADA</v>
          </cell>
          <cell r="AP5539">
            <v>1019132826</v>
          </cell>
        </row>
        <row r="5540">
          <cell r="AE5540" t="str">
            <v>01 - RENOVADA</v>
          </cell>
          <cell r="AP5540">
            <v>52481</v>
          </cell>
        </row>
        <row r="5541">
          <cell r="AE5541" t="str">
            <v>04 - NO RENOVADA</v>
          </cell>
          <cell r="AP5541">
            <v>79609</v>
          </cell>
        </row>
        <row r="5542">
          <cell r="AE5542" t="str">
            <v>03 - PENDIENTE</v>
          </cell>
          <cell r="AP5542">
            <v>1019132826</v>
          </cell>
        </row>
        <row r="5543">
          <cell r="AE5543" t="str">
            <v>05 - ANULADA EN VIGENCIA</v>
          </cell>
          <cell r="AP5543">
            <v>981699</v>
          </cell>
        </row>
        <row r="5544">
          <cell r="AE5544" t="str">
            <v>05 - ANULADA EN VIGENCIA</v>
          </cell>
          <cell r="AP5544">
            <v>1094238</v>
          </cell>
        </row>
        <row r="5545">
          <cell r="AE5545" t="str">
            <v>03 - PENDIENTE</v>
          </cell>
          <cell r="AP5545">
            <v>75392</v>
          </cell>
        </row>
        <row r="5546">
          <cell r="AE5546" t="str">
            <v>03 - PENDIENTE</v>
          </cell>
          <cell r="AP5546">
            <v>1000090659</v>
          </cell>
        </row>
        <row r="5547">
          <cell r="AE5547" t="str">
            <v>03 - PENDIENTE</v>
          </cell>
          <cell r="AP5547">
            <v>383926</v>
          </cell>
        </row>
        <row r="5548">
          <cell r="AE5548" t="str">
            <v>03 - PENDIENTE</v>
          </cell>
          <cell r="AP5548">
            <v>95888</v>
          </cell>
        </row>
        <row r="5549">
          <cell r="AE5549" t="str">
            <v>03 - PENDIENTE</v>
          </cell>
          <cell r="AP5549">
            <v>601379578</v>
          </cell>
        </row>
        <row r="5550">
          <cell r="AE5550" t="str">
            <v>05 - ANULADA EN VIGENCIA</v>
          </cell>
          <cell r="AP5550">
            <v>17179616</v>
          </cell>
        </row>
        <row r="5551">
          <cell r="AE5551" t="str">
            <v>05 - ANULADA EN VIGENCIA</v>
          </cell>
          <cell r="AP5551">
            <v>601864102</v>
          </cell>
        </row>
        <row r="5552">
          <cell r="AE5552" t="str">
            <v>05 - ANULADA EN VIGENCIA</v>
          </cell>
          <cell r="AP5552">
            <v>28335</v>
          </cell>
        </row>
        <row r="5553">
          <cell r="AE5553" t="str">
            <v>04 - NO RENOVADA</v>
          </cell>
          <cell r="AP5553">
            <v>78001</v>
          </cell>
        </row>
        <row r="5554">
          <cell r="AE5554" t="str">
            <v>05 - ANULADA EN VIGENCIA</v>
          </cell>
          <cell r="AP5554" t="str">
            <v>50-00012-1</v>
          </cell>
        </row>
        <row r="5555">
          <cell r="AE5555" t="str">
            <v>07 - DEVUELTO A AON</v>
          </cell>
          <cell r="AP5555">
            <v>74916626</v>
          </cell>
        </row>
        <row r="5556">
          <cell r="AE5556" t="str">
            <v>07 - DEVUELTO A AON</v>
          </cell>
          <cell r="AP5556">
            <v>74916632</v>
          </cell>
        </row>
        <row r="5557">
          <cell r="AE5557" t="str">
            <v>07 - DEVUELTO A AON</v>
          </cell>
          <cell r="AP5557">
            <v>108509</v>
          </cell>
        </row>
        <row r="5558">
          <cell r="AE5558" t="str">
            <v>07 - DEVUELTO A AON</v>
          </cell>
          <cell r="AP5558">
            <v>62081758</v>
          </cell>
        </row>
        <row r="5559">
          <cell r="AE5559" t="str">
            <v>07 - DEVUELTO A AON</v>
          </cell>
          <cell r="AP5559">
            <v>74916590</v>
          </cell>
        </row>
        <row r="5560">
          <cell r="AE5560" t="str">
            <v>07 - DEVUELTO A AON</v>
          </cell>
          <cell r="AP5560" t="str">
            <v>E0024502</v>
          </cell>
        </row>
        <row r="5561">
          <cell r="AE5561" t="str">
            <v>07 - DEVUELTO A AON</v>
          </cell>
          <cell r="AP5561">
            <v>74916590</v>
          </cell>
        </row>
        <row r="5562">
          <cell r="AE5562" t="str">
            <v>07 - DEVUELTO A AON</v>
          </cell>
          <cell r="AP5562">
            <v>74916626</v>
          </cell>
        </row>
        <row r="5563">
          <cell r="AE5563" t="str">
            <v>07 - DEVUELTO A AON</v>
          </cell>
          <cell r="AP5563">
            <v>74916632</v>
          </cell>
        </row>
        <row r="5564">
          <cell r="AE5564" t="str">
            <v>05 - ANULADA EN VIGENCIA</v>
          </cell>
          <cell r="AP5564">
            <v>6649124</v>
          </cell>
        </row>
        <row r="5565">
          <cell r="AE5565" t="str">
            <v>05 - ANULADA EN VIGENCIA</v>
          </cell>
          <cell r="AP5565" t="str">
            <v>E0028679</v>
          </cell>
        </row>
        <row r="5566">
          <cell r="AE5566" t="str">
            <v>01 - RENOVADA</v>
          </cell>
          <cell r="AP5566">
            <v>9261280</v>
          </cell>
        </row>
        <row r="5567">
          <cell r="AE5567" t="str">
            <v>04 - NO RENOVADA</v>
          </cell>
          <cell r="AP5567">
            <v>6690305</v>
          </cell>
        </row>
        <row r="5568">
          <cell r="AE5568" t="str">
            <v>04 - NO RENOVADA</v>
          </cell>
          <cell r="AP5568">
            <v>7744153</v>
          </cell>
        </row>
        <row r="5569">
          <cell r="AE5569" t="str">
            <v>01 - RENOVADA</v>
          </cell>
          <cell r="AP5569">
            <v>30382595</v>
          </cell>
        </row>
        <row r="5570">
          <cell r="AE5570" t="str">
            <v>01 - RENOVADA</v>
          </cell>
          <cell r="AP5570">
            <v>70215075</v>
          </cell>
        </row>
        <row r="5571">
          <cell r="AE5571" t="str">
            <v>01 - RENOVADA</v>
          </cell>
          <cell r="AP5571">
            <v>70215071</v>
          </cell>
        </row>
        <row r="5572">
          <cell r="AE5572" t="str">
            <v>04 - NO RENOVADA</v>
          </cell>
          <cell r="AP5572">
            <v>79604</v>
          </cell>
        </row>
        <row r="5573">
          <cell r="AE5573" t="str">
            <v>03 - PENDIENTE</v>
          </cell>
          <cell r="AP5573">
            <v>1019124559</v>
          </cell>
        </row>
        <row r="5574">
          <cell r="AE5574" t="str">
            <v>01 - RENOVADA</v>
          </cell>
          <cell r="AP5574">
            <v>80026997</v>
          </cell>
        </row>
        <row r="5575">
          <cell r="AE5575" t="str">
            <v>01 - RENOVADA</v>
          </cell>
          <cell r="AP5575">
            <v>80026998</v>
          </cell>
        </row>
        <row r="5576">
          <cell r="AE5576" t="str">
            <v>03 - PENDIENTE</v>
          </cell>
          <cell r="AP5576">
            <v>220018423</v>
          </cell>
        </row>
        <row r="5577">
          <cell r="AE5577" t="str">
            <v>04 - NO RENOVADA</v>
          </cell>
          <cell r="AP5577">
            <v>6654621</v>
          </cell>
        </row>
        <row r="5578">
          <cell r="AE5578" t="str">
            <v>04 - NO RENOVADA</v>
          </cell>
          <cell r="AP5578">
            <v>7546763</v>
          </cell>
        </row>
        <row r="5579">
          <cell r="AE5579" t="str">
            <v>04 - NO RENOVADA</v>
          </cell>
          <cell r="AP5579">
            <v>7546781</v>
          </cell>
        </row>
        <row r="5580">
          <cell r="AE5580" t="str">
            <v>04 - NO RENOVADA</v>
          </cell>
          <cell r="AP5580">
            <v>8206812</v>
          </cell>
        </row>
        <row r="5581">
          <cell r="AE5581" t="str">
            <v>04 - NO RENOVADA</v>
          </cell>
          <cell r="AP5581">
            <v>8206824</v>
          </cell>
        </row>
        <row r="5582">
          <cell r="AE5582" t="str">
            <v>05 - ANULADA EN VIGENCIA</v>
          </cell>
          <cell r="AP5582">
            <v>70155537</v>
          </cell>
        </row>
        <row r="5583">
          <cell r="AE5583" t="str">
            <v>03 - PENDIENTE</v>
          </cell>
          <cell r="AP5583">
            <v>70205036</v>
          </cell>
        </row>
        <row r="5584">
          <cell r="AE5584" t="str">
            <v>03 - PENDIENTE</v>
          </cell>
          <cell r="AP5584">
            <v>70205033</v>
          </cell>
        </row>
        <row r="5585">
          <cell r="AE5585" t="str">
            <v>01 - RENOVADA</v>
          </cell>
          <cell r="AP5585">
            <v>17159542</v>
          </cell>
        </row>
        <row r="5586">
          <cell r="AE5586" t="str">
            <v>01 - RENOVADA</v>
          </cell>
          <cell r="AP5586">
            <v>741147</v>
          </cell>
        </row>
        <row r="5587">
          <cell r="AE5587" t="str">
            <v>01 - RENOVADA</v>
          </cell>
          <cell r="AP5587">
            <v>19108851</v>
          </cell>
        </row>
        <row r="5588">
          <cell r="AE5588" t="str">
            <v>03 - PENDIENTE</v>
          </cell>
          <cell r="AP5588">
            <v>10646447</v>
          </cell>
        </row>
        <row r="5589">
          <cell r="AE5589" t="str">
            <v>04 - NO RENOVADA</v>
          </cell>
          <cell r="AP5589">
            <v>98202</v>
          </cell>
        </row>
        <row r="5590">
          <cell r="AE5590" t="str">
            <v>05 - ANULADA EN VIGENCIA</v>
          </cell>
          <cell r="AP5590">
            <v>70210573</v>
          </cell>
        </row>
        <row r="5591">
          <cell r="AE5591" t="str">
            <v>04 - NO RENOVADA</v>
          </cell>
          <cell r="AP5591">
            <v>1000181866</v>
          </cell>
        </row>
        <row r="5592">
          <cell r="AE5592" t="str">
            <v>04 - NO RENOVADA</v>
          </cell>
          <cell r="AP5592">
            <v>635673</v>
          </cell>
        </row>
        <row r="5593">
          <cell r="AE5593" t="str">
            <v>01 - RENOVADA</v>
          </cell>
          <cell r="AP5593">
            <v>2007972253</v>
          </cell>
        </row>
        <row r="5594">
          <cell r="AE5594" t="str">
            <v>01 - RENOVADA</v>
          </cell>
          <cell r="AP5594">
            <v>78916</v>
          </cell>
        </row>
        <row r="5595">
          <cell r="AE5595" t="str">
            <v>05 - ANULADA EN VIGENCIA</v>
          </cell>
          <cell r="AP5595">
            <v>70158801</v>
          </cell>
        </row>
        <row r="5596">
          <cell r="AE5596" t="str">
            <v>04 - NO RENOVADA</v>
          </cell>
          <cell r="AP5596">
            <v>1000206035</v>
          </cell>
        </row>
        <row r="5597">
          <cell r="AE5597" t="str">
            <v>04 - NO RENOVADA</v>
          </cell>
          <cell r="AP5597">
            <v>695950</v>
          </cell>
        </row>
        <row r="5598">
          <cell r="AE5598" t="str">
            <v>03 - PENDIENTE</v>
          </cell>
          <cell r="AP5598">
            <v>784282</v>
          </cell>
        </row>
        <row r="5599">
          <cell r="AE5599" t="str">
            <v>03 - PENDIENTE</v>
          </cell>
          <cell r="AP5599">
            <v>1000239959</v>
          </cell>
        </row>
        <row r="5600">
          <cell r="AE5600" t="str">
            <v>04 - NO RENOVADA</v>
          </cell>
          <cell r="AP5600">
            <v>1000229235</v>
          </cell>
        </row>
        <row r="5601">
          <cell r="AE5601" t="str">
            <v>04 - NO RENOVADA</v>
          </cell>
          <cell r="AP5601">
            <v>755756</v>
          </cell>
        </row>
        <row r="5602">
          <cell r="AE5602" t="str">
            <v>04 - NO RENOVADA</v>
          </cell>
          <cell r="AP5602">
            <v>649646</v>
          </cell>
        </row>
        <row r="5603">
          <cell r="AE5603" t="str">
            <v>04 - NO RENOVADA</v>
          </cell>
          <cell r="AP5603">
            <v>1000187676</v>
          </cell>
        </row>
        <row r="5604">
          <cell r="AE5604" t="str">
            <v>03 - PENDIENTE</v>
          </cell>
          <cell r="AP5604" t="str">
            <v>E0026371</v>
          </cell>
        </row>
        <row r="5605">
          <cell r="AE5605" t="str">
            <v>04 - NO RENOVADA</v>
          </cell>
          <cell r="AP5605">
            <v>16720047</v>
          </cell>
        </row>
        <row r="5606">
          <cell r="AE5606" t="str">
            <v>07 - DEVUELTO A AON</v>
          </cell>
          <cell r="AP5606">
            <v>7012200011920</v>
          </cell>
        </row>
        <row r="5607">
          <cell r="AE5607" t="str">
            <v>07 - DEVUELTO A AON</v>
          </cell>
          <cell r="AP5607">
            <v>7022200013652</v>
          </cell>
        </row>
        <row r="5608">
          <cell r="AE5608" t="str">
            <v>04 - NO RENOVADA</v>
          </cell>
          <cell r="AP5608">
            <v>7486</v>
          </cell>
        </row>
        <row r="5609">
          <cell r="AE5609" t="str">
            <v>04 - NO RENOVADA</v>
          </cell>
          <cell r="AP5609">
            <v>7729525</v>
          </cell>
        </row>
        <row r="5610">
          <cell r="AE5610" t="str">
            <v>05 - ANULADA EN VIGENCIA</v>
          </cell>
          <cell r="AP5610">
            <v>70198597</v>
          </cell>
        </row>
        <row r="5611">
          <cell r="AE5611" t="str">
            <v>05 - ANULADA EN VIGENCIA</v>
          </cell>
          <cell r="AP5611">
            <v>70162507</v>
          </cell>
        </row>
        <row r="5612">
          <cell r="AE5612" t="str">
            <v>05 - ANULADA EN VIGENCIA</v>
          </cell>
          <cell r="AP5612">
            <v>70165271</v>
          </cell>
        </row>
        <row r="5613">
          <cell r="AE5613" t="str">
            <v>05 - ANULADA EN VIGENCIA</v>
          </cell>
          <cell r="AP5613">
            <v>1300248300</v>
          </cell>
        </row>
        <row r="5614">
          <cell r="AE5614" t="str">
            <v>05 - ANULADA EN VIGENCIA</v>
          </cell>
          <cell r="AP5614">
            <v>70169011</v>
          </cell>
        </row>
        <row r="5615">
          <cell r="AE5615" t="str">
            <v>05 - ANULADA EN VIGENCIA</v>
          </cell>
          <cell r="AP5615">
            <v>601905292</v>
          </cell>
        </row>
        <row r="5616">
          <cell r="AE5616" t="str">
            <v>01 - RENOVADA</v>
          </cell>
          <cell r="AP5616">
            <v>70224394</v>
          </cell>
        </row>
        <row r="5617">
          <cell r="AE5617" t="str">
            <v>05 - ANULADA EN VIGENCIA</v>
          </cell>
          <cell r="AP5617">
            <v>70185911</v>
          </cell>
        </row>
        <row r="5618">
          <cell r="AE5618" t="str">
            <v>05 - ANULADA EN VIGENCIA</v>
          </cell>
          <cell r="AP5618">
            <v>70185924</v>
          </cell>
        </row>
        <row r="5619">
          <cell r="AE5619" t="str">
            <v>05 - ANULADA EN VIGENCIA</v>
          </cell>
          <cell r="AP5619">
            <v>125776</v>
          </cell>
        </row>
        <row r="5620">
          <cell r="AE5620" t="str">
            <v>05 - ANULADA EN VIGENCIA</v>
          </cell>
          <cell r="AP5620">
            <v>62098149</v>
          </cell>
        </row>
        <row r="5621">
          <cell r="AE5621" t="str">
            <v>05 - ANULADA EN VIGENCIA</v>
          </cell>
          <cell r="AP5621">
            <v>77978</v>
          </cell>
        </row>
        <row r="5622">
          <cell r="AE5622" t="str">
            <v>04 - NO RENOVADA</v>
          </cell>
          <cell r="AP5622">
            <v>16822289</v>
          </cell>
        </row>
        <row r="5623">
          <cell r="AE5623" t="str">
            <v>05 - ANULADA EN VIGENCIA</v>
          </cell>
          <cell r="AP5623">
            <v>2301959900049</v>
          </cell>
        </row>
        <row r="5624">
          <cell r="AE5624" t="str">
            <v>05 - ANULADA EN VIGENCIA</v>
          </cell>
          <cell r="AP5624">
            <v>70165763</v>
          </cell>
        </row>
        <row r="5625">
          <cell r="AE5625" t="str">
            <v>05 - ANULADA EN VIGENCIA</v>
          </cell>
          <cell r="AP5625">
            <v>70171190</v>
          </cell>
        </row>
        <row r="5626">
          <cell r="AE5626" t="str">
            <v>05 - ANULADA EN VIGENCIA</v>
          </cell>
          <cell r="AP5626">
            <v>70131681</v>
          </cell>
        </row>
        <row r="5627">
          <cell r="AE5627" t="str">
            <v>05 - ANULADA EN VIGENCIA</v>
          </cell>
          <cell r="AP5627">
            <v>1300255152</v>
          </cell>
        </row>
        <row r="5628">
          <cell r="AE5628" t="str">
            <v>05 - ANULADA EN VIGENCIA</v>
          </cell>
          <cell r="AP5628">
            <v>1300016246</v>
          </cell>
        </row>
        <row r="5629">
          <cell r="AE5629" t="str">
            <v>05 - ANULADA EN VIGENCIA</v>
          </cell>
          <cell r="AP5629">
            <v>1000125961</v>
          </cell>
        </row>
        <row r="5630">
          <cell r="AE5630" t="str">
            <v>05 - ANULADA EN VIGENCIA</v>
          </cell>
          <cell r="AP5630">
            <v>484034</v>
          </cell>
        </row>
        <row r="5631">
          <cell r="AE5631" t="str">
            <v>05 - ANULADA EN VIGENCIA</v>
          </cell>
          <cell r="AP5631">
            <v>70119401</v>
          </cell>
        </row>
        <row r="5632">
          <cell r="AE5632" t="str">
            <v>05 - ANULADA EN VIGENCIA</v>
          </cell>
          <cell r="AP5632">
            <v>70156281</v>
          </cell>
        </row>
        <row r="5633">
          <cell r="AE5633" t="str">
            <v>03 - PENDIENTE</v>
          </cell>
          <cell r="AP5633">
            <v>1000278097</v>
          </cell>
        </row>
        <row r="5634">
          <cell r="AE5634" t="str">
            <v>03 - PENDIENTE</v>
          </cell>
          <cell r="AP5634">
            <v>878511</v>
          </cell>
        </row>
        <row r="5635">
          <cell r="AE5635" t="str">
            <v>01 - RENOVADA</v>
          </cell>
          <cell r="AP5635">
            <v>601394542</v>
          </cell>
        </row>
        <row r="5636">
          <cell r="AE5636" t="str">
            <v>01 - RENOVADA</v>
          </cell>
          <cell r="AP5636">
            <v>16678167</v>
          </cell>
        </row>
        <row r="5637">
          <cell r="AE5637" t="str">
            <v>03 - PENDIENTE</v>
          </cell>
          <cell r="AP5637">
            <v>6102010101189</v>
          </cell>
        </row>
        <row r="5638">
          <cell r="AE5638" t="str">
            <v>05 - ANULADA EN VIGENCIA</v>
          </cell>
          <cell r="AP5638">
            <v>2031510100082</v>
          </cell>
        </row>
        <row r="5639">
          <cell r="AE5639" t="str">
            <v>05 - ANULADA EN VIGENCIA</v>
          </cell>
          <cell r="AP5639">
            <v>2401359900089</v>
          </cell>
        </row>
        <row r="5640">
          <cell r="AE5640" t="str">
            <v>03 - PENDIENTE</v>
          </cell>
          <cell r="AP5640">
            <v>70199666</v>
          </cell>
        </row>
        <row r="5641">
          <cell r="AE5641" t="str">
            <v>02 - EN PROCESO</v>
          </cell>
          <cell r="AP5641">
            <v>2402410109658</v>
          </cell>
        </row>
        <row r="5642">
          <cell r="AE5642" t="str">
            <v>02 - EN PROCESO</v>
          </cell>
          <cell r="AP5642">
            <v>2222410100133</v>
          </cell>
        </row>
        <row r="5643">
          <cell r="AE5643" t="str">
            <v>02 - EN PROCESO</v>
          </cell>
          <cell r="AP5643">
            <v>2032410100400</v>
          </cell>
        </row>
        <row r="5644">
          <cell r="AE5644" t="str">
            <v>08 - VIGENCIA ANTERIOR</v>
          </cell>
          <cell r="AP5644">
            <v>1003327</v>
          </cell>
        </row>
        <row r="5645">
          <cell r="AE5645" t="str">
            <v>01 - RENOVADA</v>
          </cell>
          <cell r="AP5645">
            <v>1492027</v>
          </cell>
        </row>
        <row r="5646">
          <cell r="AE5646" t="str">
            <v>04 - NO RENOVADA</v>
          </cell>
          <cell r="AP5646">
            <v>46233</v>
          </cell>
        </row>
        <row r="5647">
          <cell r="AE5647" t="str">
            <v>01 - RENOVADA</v>
          </cell>
          <cell r="AP5647">
            <v>9792</v>
          </cell>
        </row>
        <row r="5648">
          <cell r="AE5648" t="str">
            <v>01 - RENOVADA</v>
          </cell>
          <cell r="AP5648">
            <v>15635866</v>
          </cell>
        </row>
        <row r="5649">
          <cell r="AE5649" t="str">
            <v>04 - NO RENOVADA</v>
          </cell>
          <cell r="AP5649" t="str">
            <v>P0204200</v>
          </cell>
        </row>
        <row r="5650">
          <cell r="AE5650" t="str">
            <v>04 - NO RENOVADA</v>
          </cell>
          <cell r="AP5650" t="str">
            <v>S0203813</v>
          </cell>
        </row>
        <row r="5651">
          <cell r="AE5651" t="str">
            <v>04 - NO RENOVADA</v>
          </cell>
          <cell r="AP5651">
            <v>107251</v>
          </cell>
        </row>
        <row r="5652">
          <cell r="AE5652" t="str">
            <v>04 - NO RENOVADA</v>
          </cell>
          <cell r="AP5652">
            <v>62080458</v>
          </cell>
        </row>
        <row r="5653">
          <cell r="AE5653" t="str">
            <v>01 - RENOVADA</v>
          </cell>
          <cell r="AP5653" t="str">
            <v>E0024561</v>
          </cell>
        </row>
        <row r="5654">
          <cell r="AE5654" t="str">
            <v>03 - PENDIENTE</v>
          </cell>
          <cell r="AP5654" t="str">
            <v>S0336164</v>
          </cell>
        </row>
        <row r="5655">
          <cell r="AE5655" t="str">
            <v>03 - PENDIENTE</v>
          </cell>
          <cell r="AP5655" t="str">
            <v>P0278673</v>
          </cell>
        </row>
        <row r="5656">
          <cell r="AE5656" t="str">
            <v>05 - ANULADA EN VIGENCIA</v>
          </cell>
          <cell r="AP5656">
            <v>44388595</v>
          </cell>
        </row>
        <row r="5657">
          <cell r="AE5657" t="str">
            <v>03 - PENDIENTE</v>
          </cell>
          <cell r="AP5657">
            <v>1300256010</v>
          </cell>
        </row>
        <row r="5658">
          <cell r="AE5658" t="str">
            <v>03 - PENDIENTE</v>
          </cell>
          <cell r="AP5658">
            <v>44388612</v>
          </cell>
        </row>
        <row r="5659">
          <cell r="AE5659" t="str">
            <v>03 - PENDIENTE</v>
          </cell>
          <cell r="AP5659">
            <v>89770</v>
          </cell>
        </row>
        <row r="5660">
          <cell r="AE5660" t="str">
            <v>01 - RENOVADA</v>
          </cell>
          <cell r="AP5660">
            <v>601754095</v>
          </cell>
        </row>
        <row r="5661">
          <cell r="AE5661" t="str">
            <v>05 - ANULADA EN VIGENCIA</v>
          </cell>
          <cell r="AP5661">
            <v>2005007298</v>
          </cell>
        </row>
        <row r="5662">
          <cell r="AE5662" t="str">
            <v>01 - RENOVADA</v>
          </cell>
          <cell r="AP5662">
            <v>1005724</v>
          </cell>
        </row>
        <row r="5663">
          <cell r="AE5663" t="str">
            <v>04 - NO RENOVADA</v>
          </cell>
          <cell r="AP5663">
            <v>6102010700604</v>
          </cell>
        </row>
        <row r="5664">
          <cell r="AE5664" t="str">
            <v>03 - PENDIENTE</v>
          </cell>
          <cell r="AP5664">
            <v>95919942</v>
          </cell>
        </row>
        <row r="5665">
          <cell r="AE5665" t="str">
            <v>03 - PENDIENTE</v>
          </cell>
          <cell r="AP5665">
            <v>95920004</v>
          </cell>
        </row>
        <row r="5666">
          <cell r="AE5666" t="str">
            <v>01 - RENOVADA</v>
          </cell>
          <cell r="AP5666">
            <v>1162210800041</v>
          </cell>
        </row>
        <row r="5667">
          <cell r="AE5667" t="str">
            <v>05 - ANULADA EN VIGENCIA</v>
          </cell>
          <cell r="AP5667">
            <v>70142892</v>
          </cell>
        </row>
        <row r="5668">
          <cell r="AE5668" t="str">
            <v>05 - ANULADA EN VIGENCIA</v>
          </cell>
          <cell r="AP5668">
            <v>1162210400543</v>
          </cell>
        </row>
        <row r="5669">
          <cell r="AE5669" t="str">
            <v>05 - ANULADA EN VIGENCIA</v>
          </cell>
          <cell r="AP5669">
            <v>70153987</v>
          </cell>
        </row>
        <row r="5670">
          <cell r="AE5670" t="str">
            <v>04 - NO RENOVADA</v>
          </cell>
          <cell r="AP5670">
            <v>77987</v>
          </cell>
        </row>
        <row r="5671">
          <cell r="AE5671" t="str">
            <v>05 - ANULADA EN VIGENCIA</v>
          </cell>
          <cell r="AP5671">
            <v>27650</v>
          </cell>
        </row>
        <row r="5672">
          <cell r="AE5672" t="str">
            <v>05 - ANULADA EN VIGENCIA</v>
          </cell>
          <cell r="AP5672">
            <v>601538429</v>
          </cell>
        </row>
        <row r="5673">
          <cell r="AE5673" t="str">
            <v>05 - ANULADA EN VIGENCIA</v>
          </cell>
          <cell r="AP5673">
            <v>7011900004117</v>
          </cell>
        </row>
        <row r="5674">
          <cell r="AE5674" t="str">
            <v>05 - ANULADA EN VIGENCIA</v>
          </cell>
          <cell r="AP5674">
            <v>7011900004123</v>
          </cell>
        </row>
        <row r="5675">
          <cell r="AE5675" t="str">
            <v>05 - ANULADA EN VIGENCIA</v>
          </cell>
          <cell r="AP5675">
            <v>7012000004510</v>
          </cell>
        </row>
        <row r="5676">
          <cell r="AE5676" t="str">
            <v>05 - ANULADA EN VIGENCIA</v>
          </cell>
          <cell r="AP5676">
            <v>7021900004722</v>
          </cell>
        </row>
        <row r="5677">
          <cell r="AE5677" t="str">
            <v>05 - ANULADA EN VIGENCIA</v>
          </cell>
          <cell r="AP5677">
            <v>7022000005241</v>
          </cell>
        </row>
        <row r="5678">
          <cell r="AE5678" t="str">
            <v>05 - ANULADA EN VIGENCIA</v>
          </cell>
          <cell r="AP5678">
            <v>601500526</v>
          </cell>
        </row>
        <row r="5679">
          <cell r="AE5679" t="str">
            <v>05 - ANULADA EN VIGENCIA</v>
          </cell>
          <cell r="AP5679">
            <v>7012000037293</v>
          </cell>
        </row>
        <row r="5680">
          <cell r="AE5680" t="str">
            <v>05 - ANULADA EN VIGENCIA</v>
          </cell>
          <cell r="AP5680">
            <v>7022000042675</v>
          </cell>
        </row>
        <row r="5681">
          <cell r="AE5681" t="str">
            <v>05 - ANULADA EN VIGENCIA</v>
          </cell>
          <cell r="AP5681">
            <v>7011900063786</v>
          </cell>
        </row>
        <row r="5682">
          <cell r="AE5682" t="str">
            <v>05 - ANULADA EN VIGENCIA</v>
          </cell>
          <cell r="AP5682">
            <v>7021900073896</v>
          </cell>
        </row>
        <row r="5683">
          <cell r="AE5683" t="str">
            <v>05 - ANULADA EN VIGENCIA</v>
          </cell>
          <cell r="AP5683">
            <v>27649</v>
          </cell>
        </row>
        <row r="5684">
          <cell r="AE5684" t="str">
            <v>05 - ANULADA EN VIGENCIA</v>
          </cell>
          <cell r="AP5684">
            <v>7021900004719</v>
          </cell>
        </row>
        <row r="5685">
          <cell r="AE5685" t="str">
            <v>05 - ANULADA EN VIGENCIA</v>
          </cell>
          <cell r="AP5685">
            <v>7021900004717</v>
          </cell>
        </row>
        <row r="5686">
          <cell r="AE5686" t="str">
            <v>05 - ANULADA EN VIGENCIA</v>
          </cell>
          <cell r="AP5686" t="str">
            <v>E0025854</v>
          </cell>
        </row>
        <row r="5687">
          <cell r="AE5687" t="str">
            <v>05 - ANULADA EN VIGENCIA</v>
          </cell>
          <cell r="AP5687">
            <v>1092134</v>
          </cell>
        </row>
        <row r="5688">
          <cell r="AE5688" t="str">
            <v>01 - RENOVADA</v>
          </cell>
          <cell r="AP5688" t="str">
            <v>E0030392</v>
          </cell>
        </row>
        <row r="5689">
          <cell r="AE5689" t="str">
            <v>01 - RENOVADA</v>
          </cell>
          <cell r="AP5689">
            <v>19918232</v>
          </cell>
        </row>
        <row r="5690">
          <cell r="AE5690" t="str">
            <v>01 - RENOVADA</v>
          </cell>
          <cell r="AP5690">
            <v>537822</v>
          </cell>
        </row>
        <row r="5691">
          <cell r="AE5691" t="str">
            <v>01 - RENOVADA</v>
          </cell>
          <cell r="AP5691">
            <v>69602</v>
          </cell>
        </row>
        <row r="5692">
          <cell r="AE5692" t="str">
            <v>01 - RENOVADA</v>
          </cell>
          <cell r="AP5692">
            <v>20879521</v>
          </cell>
        </row>
        <row r="5693">
          <cell r="AE5693" t="str">
            <v>01 - RENOVADA</v>
          </cell>
          <cell r="AP5693">
            <v>2009797501</v>
          </cell>
        </row>
        <row r="5694">
          <cell r="AE5694" t="str">
            <v>01 - RENOVADA</v>
          </cell>
          <cell r="AP5694">
            <v>2009797527</v>
          </cell>
        </row>
        <row r="5695">
          <cell r="AE5695" t="str">
            <v>02 - EN PROCESO</v>
          </cell>
          <cell r="AP5695">
            <v>47977</v>
          </cell>
        </row>
        <row r="5696">
          <cell r="AE5696" t="str">
            <v>01 - RENOVADA</v>
          </cell>
          <cell r="AP5696">
            <v>70221730</v>
          </cell>
        </row>
        <row r="5697">
          <cell r="AE5697" t="str">
            <v>01 - RENOVADA</v>
          </cell>
          <cell r="AP5697">
            <v>507263</v>
          </cell>
        </row>
        <row r="5698">
          <cell r="AE5698" t="str">
            <v>08 - VIGENCIA ANTERIOR</v>
          </cell>
          <cell r="AP5698">
            <v>6838152</v>
          </cell>
        </row>
        <row r="5699">
          <cell r="AE5699" t="str">
            <v>08 - VIGENCIA ANTERIOR</v>
          </cell>
          <cell r="AP5699">
            <v>6838177</v>
          </cell>
        </row>
        <row r="5700">
          <cell r="AE5700" t="str">
            <v>08 - VIGENCIA ANTERIOR</v>
          </cell>
          <cell r="AP5700">
            <v>6838184</v>
          </cell>
        </row>
        <row r="5701">
          <cell r="AE5701" t="str">
            <v>08 - VIGENCIA ANTERIOR</v>
          </cell>
          <cell r="AP5701">
            <v>6838186</v>
          </cell>
        </row>
        <row r="5702">
          <cell r="AE5702" t="str">
            <v>05 - ANULADA EN VIGENCIA</v>
          </cell>
          <cell r="AP5702">
            <v>2401959900145</v>
          </cell>
        </row>
        <row r="5703">
          <cell r="AE5703" t="str">
            <v>01 - RENOVADA</v>
          </cell>
          <cell r="AP5703">
            <v>1358493</v>
          </cell>
        </row>
        <row r="5704">
          <cell r="AE5704" t="str">
            <v>01 - RENOVADA</v>
          </cell>
          <cell r="AP5704">
            <v>70225084</v>
          </cell>
        </row>
        <row r="5705">
          <cell r="AE5705" t="str">
            <v>01 - RENOVADA</v>
          </cell>
          <cell r="AP5705">
            <v>70225078</v>
          </cell>
        </row>
        <row r="5706">
          <cell r="AE5706" t="str">
            <v>01 - RENOVADA</v>
          </cell>
          <cell r="AP5706">
            <v>70225067</v>
          </cell>
        </row>
        <row r="5707">
          <cell r="AE5707" t="str">
            <v>01 - RENOVADA</v>
          </cell>
          <cell r="AP5707">
            <v>70225072</v>
          </cell>
        </row>
        <row r="5708">
          <cell r="AE5708" t="str">
            <v>01 - RENOVADA</v>
          </cell>
          <cell r="AP5708">
            <v>70225636</v>
          </cell>
        </row>
        <row r="5709">
          <cell r="AE5709" t="str">
            <v>01 - RENOVADA</v>
          </cell>
          <cell r="AP5709">
            <v>70241346</v>
          </cell>
        </row>
        <row r="5710">
          <cell r="AE5710" t="str">
            <v>01 - RENOVADA</v>
          </cell>
          <cell r="AP5710">
            <v>2010445968</v>
          </cell>
        </row>
        <row r="5711">
          <cell r="AE5711" t="str">
            <v>01 - RENOVADA</v>
          </cell>
          <cell r="AP5711" t="str">
            <v>E0026175</v>
          </cell>
        </row>
        <row r="5712">
          <cell r="AE5712" t="str">
            <v>04 - NO RENOVADA</v>
          </cell>
          <cell r="AP5712">
            <v>7498087</v>
          </cell>
        </row>
        <row r="5713">
          <cell r="AE5713" t="str">
            <v>04 - NO RENOVADA</v>
          </cell>
          <cell r="AP5713">
            <v>8161120</v>
          </cell>
        </row>
        <row r="5714">
          <cell r="AE5714" t="str">
            <v>03 - PENDIENTE</v>
          </cell>
          <cell r="AP5714">
            <v>7012100102174</v>
          </cell>
        </row>
        <row r="5715">
          <cell r="AE5715" t="str">
            <v>03 - PENDIENTE</v>
          </cell>
          <cell r="AP5715">
            <v>7022100119514</v>
          </cell>
        </row>
        <row r="5716">
          <cell r="AE5716" t="str">
            <v>02 - EN PROCESO</v>
          </cell>
          <cell r="AP5716">
            <v>48115</v>
          </cell>
        </row>
        <row r="5717">
          <cell r="AE5717" t="str">
            <v>03 - PENDIENTE</v>
          </cell>
          <cell r="AP5717">
            <v>70202848</v>
          </cell>
        </row>
        <row r="5718">
          <cell r="AE5718" t="str">
            <v>03 - PENDIENTE</v>
          </cell>
          <cell r="AP5718">
            <v>2010970094</v>
          </cell>
        </row>
        <row r="5719">
          <cell r="AE5719" t="str">
            <v>04 - NO RENOVADA</v>
          </cell>
          <cell r="AP5719">
            <v>7022100011992</v>
          </cell>
        </row>
        <row r="5720">
          <cell r="AE5720" t="str">
            <v>04 - NO RENOVADA</v>
          </cell>
          <cell r="AP5720">
            <v>7012100010478</v>
          </cell>
        </row>
        <row r="5721">
          <cell r="AE5721" t="str">
            <v>05 - ANULADA EN VIGENCIA</v>
          </cell>
          <cell r="AP5721">
            <v>15804</v>
          </cell>
        </row>
        <row r="5722">
          <cell r="AE5722" t="str">
            <v>04 - NO RENOVADA</v>
          </cell>
          <cell r="AP5722">
            <v>230248277</v>
          </cell>
        </row>
        <row r="5723">
          <cell r="AE5723" t="str">
            <v>03 - PENDIENTE</v>
          </cell>
          <cell r="AP5723">
            <v>70314</v>
          </cell>
        </row>
        <row r="5724">
          <cell r="AE5724" t="str">
            <v>04 - NO RENOVADA</v>
          </cell>
          <cell r="AP5724">
            <v>1126794</v>
          </cell>
        </row>
        <row r="5725">
          <cell r="AE5725" t="str">
            <v>05 - ANULADA EN VIGENCIA</v>
          </cell>
          <cell r="AP5725">
            <v>16707931</v>
          </cell>
        </row>
        <row r="5726">
          <cell r="AE5726" t="str">
            <v>04 - NO RENOVADA</v>
          </cell>
          <cell r="AP5726">
            <v>16674975</v>
          </cell>
        </row>
        <row r="5727">
          <cell r="AE5727" t="str">
            <v>03 - PENDIENTE</v>
          </cell>
          <cell r="AP5727">
            <v>10290</v>
          </cell>
        </row>
        <row r="5728">
          <cell r="AE5728" t="str">
            <v>03 - PENDIENTE</v>
          </cell>
          <cell r="AP5728">
            <v>11398</v>
          </cell>
        </row>
        <row r="5729">
          <cell r="AE5729" t="str">
            <v>05 - ANULADA EN VIGENCIA</v>
          </cell>
          <cell r="AP5729">
            <v>66723378</v>
          </cell>
        </row>
        <row r="5730">
          <cell r="AE5730" t="str">
            <v>05 - ANULADA EN VIGENCIA</v>
          </cell>
          <cell r="AP5730" t="str">
            <v>E0026217</v>
          </cell>
        </row>
        <row r="5731">
          <cell r="AE5731" t="str">
            <v>05 - ANULADA EN VIGENCIA</v>
          </cell>
          <cell r="AP5731" t="str">
            <v>P0215410</v>
          </cell>
        </row>
        <row r="5732">
          <cell r="AE5732" t="str">
            <v>05 - ANULADA EN VIGENCIA</v>
          </cell>
          <cell r="AP5732" t="str">
            <v>S0217781</v>
          </cell>
        </row>
        <row r="5733">
          <cell r="AE5733" t="str">
            <v>05 - ANULADA EN VIGENCIA</v>
          </cell>
          <cell r="AP5733">
            <v>6649017</v>
          </cell>
        </row>
        <row r="5734">
          <cell r="AE5734" t="str">
            <v>05 - ANULADA EN VIGENCIA</v>
          </cell>
          <cell r="AP5734">
            <v>433</v>
          </cell>
        </row>
        <row r="5735">
          <cell r="AE5735" t="str">
            <v>05 - ANULADA EN VIGENCIA</v>
          </cell>
          <cell r="AP5735" t="str">
            <v>E0028680</v>
          </cell>
        </row>
        <row r="5736">
          <cell r="AE5736" t="str">
            <v>05 - ANULADA EN VIGENCIA</v>
          </cell>
          <cell r="AP5736" t="str">
            <v>P0263107</v>
          </cell>
        </row>
        <row r="5737">
          <cell r="AE5737" t="str">
            <v>05 - ANULADA EN VIGENCIA</v>
          </cell>
          <cell r="AP5737">
            <v>2032159900179</v>
          </cell>
        </row>
        <row r="5738">
          <cell r="AE5738" t="str">
            <v>05 - ANULADA EN VIGENCIA</v>
          </cell>
          <cell r="AP5738">
            <v>65534</v>
          </cell>
        </row>
        <row r="5739">
          <cell r="AE5739" t="str">
            <v>04 - NO RENOVADA</v>
          </cell>
          <cell r="AP5739" t="str">
            <v>E0028303</v>
          </cell>
        </row>
        <row r="5740">
          <cell r="AE5740" t="str">
            <v>04 - NO RENOVADA</v>
          </cell>
          <cell r="AP5740">
            <v>17136828</v>
          </cell>
        </row>
        <row r="5741">
          <cell r="AE5741" t="str">
            <v>05 - ANULADA EN VIGENCIA</v>
          </cell>
          <cell r="AP5741">
            <v>1162059900133</v>
          </cell>
        </row>
        <row r="5742">
          <cell r="AE5742" t="str">
            <v>01 - RENOVADA</v>
          </cell>
          <cell r="AP5742">
            <v>553056</v>
          </cell>
        </row>
        <row r="5743">
          <cell r="AE5743" t="str">
            <v>01 - RENOVADA</v>
          </cell>
          <cell r="AP5743">
            <v>547323</v>
          </cell>
        </row>
        <row r="5744">
          <cell r="AE5744" t="str">
            <v>04 - NO RENOVADA</v>
          </cell>
          <cell r="AP5744" t="str">
            <v>20-00070-4</v>
          </cell>
        </row>
        <row r="5745">
          <cell r="AE5745" t="str">
            <v>01 - RENOVADA</v>
          </cell>
          <cell r="AP5745">
            <v>1300617281</v>
          </cell>
        </row>
        <row r="5746">
          <cell r="AE5746" t="str">
            <v>03 - PENDIENTE</v>
          </cell>
          <cell r="AP5746" t="str">
            <v>P0334869</v>
          </cell>
        </row>
        <row r="5747">
          <cell r="AE5747" t="str">
            <v>03 - PENDIENTE</v>
          </cell>
          <cell r="AP5747" t="str">
            <v>S0423936</v>
          </cell>
        </row>
        <row r="5748">
          <cell r="AE5748" t="str">
            <v>01 - RENOVADA</v>
          </cell>
          <cell r="AP5748">
            <v>542205</v>
          </cell>
        </row>
        <row r="5749">
          <cell r="AE5749" t="str">
            <v>03 - PENDIENTE</v>
          </cell>
          <cell r="AP5749">
            <v>1300044292</v>
          </cell>
        </row>
        <row r="5750">
          <cell r="AE5750" t="str">
            <v>01 - RENOVADA</v>
          </cell>
          <cell r="AP5750" t="str">
            <v>E0031107</v>
          </cell>
        </row>
        <row r="5751">
          <cell r="AE5751" t="str">
            <v>05 - ANULADA EN VIGENCIA</v>
          </cell>
          <cell r="AP5751">
            <v>47660</v>
          </cell>
        </row>
        <row r="5752">
          <cell r="AE5752" t="str">
            <v>03 - PENDIENTE</v>
          </cell>
          <cell r="AP5752">
            <v>116457</v>
          </cell>
        </row>
        <row r="5753">
          <cell r="AE5753" t="str">
            <v>05 - ANULADA EN VIGENCIA</v>
          </cell>
          <cell r="AP5753">
            <v>87263</v>
          </cell>
        </row>
        <row r="5754">
          <cell r="AE5754" t="str">
            <v>01 - RENOVADA</v>
          </cell>
          <cell r="AP5754">
            <v>70246125</v>
          </cell>
        </row>
        <row r="5755">
          <cell r="AE5755" t="str">
            <v>03 - PENDIENTE</v>
          </cell>
          <cell r="AP5755">
            <v>70195614</v>
          </cell>
        </row>
        <row r="5756">
          <cell r="AE5756" t="str">
            <v>01 - RENOVADA</v>
          </cell>
          <cell r="AP5756">
            <v>127052</v>
          </cell>
        </row>
        <row r="5757">
          <cell r="AE5757" t="str">
            <v>05 - ANULADA EN VIGENCIA</v>
          </cell>
          <cell r="AP5757">
            <v>16825063</v>
          </cell>
        </row>
        <row r="5758">
          <cell r="AE5758" t="str">
            <v>01 - RENOVADA</v>
          </cell>
          <cell r="AP5758">
            <v>70197962</v>
          </cell>
        </row>
        <row r="5759">
          <cell r="AE5759" t="str">
            <v>05 - ANULADA EN VIGENCIA</v>
          </cell>
          <cell r="AP5759">
            <v>95113</v>
          </cell>
        </row>
        <row r="5760">
          <cell r="AE5760" t="str">
            <v>05 - ANULADA EN VIGENCIA</v>
          </cell>
          <cell r="AP5760" t="str">
            <v>E0030507</v>
          </cell>
        </row>
        <row r="5761">
          <cell r="AE5761" t="str">
            <v>01 - RENOVADA</v>
          </cell>
          <cell r="AP5761">
            <v>131206</v>
          </cell>
        </row>
        <row r="5762">
          <cell r="AE5762" t="str">
            <v>05 - ANULADA EN VIGENCIA</v>
          </cell>
          <cell r="AP5762">
            <v>1300039452</v>
          </cell>
        </row>
        <row r="5763">
          <cell r="AE5763" t="str">
            <v>01 - RENOVADA</v>
          </cell>
          <cell r="AP5763">
            <v>16684439</v>
          </cell>
        </row>
        <row r="5764">
          <cell r="AE5764" t="str">
            <v>05 - ANULADA EN VIGENCIA</v>
          </cell>
          <cell r="AP5764">
            <v>70164302</v>
          </cell>
        </row>
        <row r="5765">
          <cell r="AE5765" t="str">
            <v>05 - ANULADA EN VIGENCIA</v>
          </cell>
          <cell r="AP5765">
            <v>70135327</v>
          </cell>
        </row>
        <row r="5766">
          <cell r="AE5766" t="str">
            <v>03 - PENDIENTE</v>
          </cell>
          <cell r="AP5766">
            <v>1130722</v>
          </cell>
        </row>
        <row r="5767">
          <cell r="AE5767" t="str">
            <v>03 - PENDIENTE</v>
          </cell>
          <cell r="AP5767">
            <v>620102573</v>
          </cell>
        </row>
        <row r="5768">
          <cell r="AE5768" t="str">
            <v>04 - NO RENOVADA</v>
          </cell>
          <cell r="AP5768">
            <v>17439357</v>
          </cell>
        </row>
        <row r="5769">
          <cell r="AE5769" t="str">
            <v>08 - VIGENCIA ANTERIOR</v>
          </cell>
          <cell r="AP5769">
            <v>70154198</v>
          </cell>
        </row>
        <row r="5770">
          <cell r="AE5770" t="str">
            <v>01 - RENOVADA</v>
          </cell>
          <cell r="AP5770">
            <v>70231619</v>
          </cell>
        </row>
        <row r="5771">
          <cell r="AE5771" t="str">
            <v>05 - ANULADA EN VIGENCIA</v>
          </cell>
          <cell r="AP5771">
            <v>70179769</v>
          </cell>
        </row>
        <row r="5772">
          <cell r="AE5772" t="str">
            <v>01 - RENOVADA</v>
          </cell>
          <cell r="AP5772">
            <v>70238557</v>
          </cell>
        </row>
        <row r="5773">
          <cell r="AE5773" t="str">
            <v>05 - ANULADA EN VIGENCIA</v>
          </cell>
          <cell r="AP5773">
            <v>78049</v>
          </cell>
        </row>
        <row r="5774">
          <cell r="AE5774" t="str">
            <v>07 - DEVUELTO A AON</v>
          </cell>
          <cell r="AP5774">
            <v>16524230</v>
          </cell>
        </row>
        <row r="5775">
          <cell r="AE5775" t="str">
            <v>04 - NO RENOVADA</v>
          </cell>
          <cell r="AP5775">
            <v>95654</v>
          </cell>
        </row>
        <row r="5776">
          <cell r="AE5776" t="str">
            <v>03 - PENDIENTE</v>
          </cell>
          <cell r="AP5776">
            <v>124288</v>
          </cell>
        </row>
        <row r="5777">
          <cell r="AE5777" t="str">
            <v>03 - PENDIENTE</v>
          </cell>
          <cell r="AP5777">
            <v>62096739</v>
          </cell>
        </row>
        <row r="5778">
          <cell r="AE5778" t="str">
            <v>04 - NO RENOVADA</v>
          </cell>
          <cell r="AP5778">
            <v>112794</v>
          </cell>
        </row>
        <row r="5779">
          <cell r="AE5779" t="str">
            <v>04 - NO RENOVADA</v>
          </cell>
          <cell r="AP5779">
            <v>62086107</v>
          </cell>
        </row>
        <row r="5780">
          <cell r="AE5780" t="str">
            <v>03 - PENDIENTE</v>
          </cell>
          <cell r="AP5780">
            <v>70194434</v>
          </cell>
        </row>
        <row r="5781">
          <cell r="AE5781" t="str">
            <v>01 - RENOVADA</v>
          </cell>
          <cell r="AP5781">
            <v>602035083</v>
          </cell>
        </row>
        <row r="5782">
          <cell r="AE5782" t="str">
            <v>03 - PENDIENTE</v>
          </cell>
          <cell r="AP5782">
            <v>119955</v>
          </cell>
        </row>
        <row r="5783">
          <cell r="AE5783" t="str">
            <v>03 - PENDIENTE</v>
          </cell>
          <cell r="AP5783">
            <v>62078780</v>
          </cell>
        </row>
        <row r="5784">
          <cell r="AE5784" t="str">
            <v>03 - PENDIENTE</v>
          </cell>
          <cell r="AP5784">
            <v>105651</v>
          </cell>
        </row>
        <row r="5785">
          <cell r="AE5785" t="str">
            <v>03 - PENDIENTE</v>
          </cell>
          <cell r="AP5785">
            <v>17520507</v>
          </cell>
        </row>
        <row r="5786">
          <cell r="AE5786" t="str">
            <v>03 - PENDIENTE</v>
          </cell>
          <cell r="AP5786">
            <v>76103</v>
          </cell>
        </row>
        <row r="5787">
          <cell r="AE5787" t="str">
            <v>05 - ANULADA EN VIGENCIA</v>
          </cell>
          <cell r="AP5787" t="str">
            <v>P0228607</v>
          </cell>
        </row>
        <row r="5788">
          <cell r="AE5788" t="str">
            <v>04 - NO RENOVADA</v>
          </cell>
          <cell r="AP5788">
            <v>365</v>
          </cell>
        </row>
        <row r="5789">
          <cell r="AE5789" t="str">
            <v>04 - NO RENOVADA</v>
          </cell>
          <cell r="AP5789" t="str">
            <v>E0026992</v>
          </cell>
        </row>
        <row r="5790">
          <cell r="AE5790" t="str">
            <v>05 - ANULADA EN VIGENCIA</v>
          </cell>
          <cell r="AP5790" t="str">
            <v>S0234518</v>
          </cell>
        </row>
        <row r="5791">
          <cell r="AE5791" t="str">
            <v>05 - ANULADA EN VIGENCIA</v>
          </cell>
          <cell r="AP5791">
            <v>67317694</v>
          </cell>
        </row>
        <row r="5792">
          <cell r="AE5792" t="str">
            <v>05 - ANULADA EN VIGENCIA</v>
          </cell>
          <cell r="AP5792">
            <v>67317704</v>
          </cell>
        </row>
        <row r="5793">
          <cell r="AE5793" t="str">
            <v>05 - ANULADA EN VIGENCIA</v>
          </cell>
          <cell r="AP5793">
            <v>7012100098367</v>
          </cell>
        </row>
        <row r="5794">
          <cell r="AE5794" t="str">
            <v>05 - ANULADA EN VIGENCIA</v>
          </cell>
          <cell r="AP5794">
            <v>645146</v>
          </cell>
        </row>
        <row r="5795">
          <cell r="AE5795" t="str">
            <v>05 - ANULADA EN VIGENCIA</v>
          </cell>
          <cell r="AP5795">
            <v>1000185912</v>
          </cell>
        </row>
        <row r="5796">
          <cell r="AE5796" t="str">
            <v>04 - NO RENOVADA</v>
          </cell>
          <cell r="AP5796">
            <v>19468719</v>
          </cell>
        </row>
        <row r="5797">
          <cell r="AE5797" t="str">
            <v>04 - NO RENOVADA</v>
          </cell>
          <cell r="AP5797">
            <v>19551232</v>
          </cell>
        </row>
        <row r="5798">
          <cell r="AE5798" t="str">
            <v>04 - NO RENOVADA</v>
          </cell>
          <cell r="AP5798">
            <v>19734197</v>
          </cell>
        </row>
        <row r="5799">
          <cell r="AE5799" t="str">
            <v>04 - NO RENOVADA</v>
          </cell>
          <cell r="AP5799">
            <v>19934835</v>
          </cell>
        </row>
        <row r="5800">
          <cell r="AE5800" t="str">
            <v>03 - PENDIENTE</v>
          </cell>
          <cell r="AP5800">
            <v>103842</v>
          </cell>
        </row>
        <row r="5801">
          <cell r="AE5801" t="str">
            <v>04 - NO RENOVADA</v>
          </cell>
          <cell r="AP5801">
            <v>17231656</v>
          </cell>
        </row>
        <row r="5802">
          <cell r="AE5802" t="str">
            <v>04 - NO RENOVADA</v>
          </cell>
          <cell r="AP5802">
            <v>20032553</v>
          </cell>
        </row>
        <row r="5803">
          <cell r="AE5803" t="str">
            <v>04 - NO RENOVADA</v>
          </cell>
          <cell r="AP5803">
            <v>20050266</v>
          </cell>
        </row>
        <row r="5804">
          <cell r="AE5804" t="str">
            <v>04 - NO RENOVADA</v>
          </cell>
          <cell r="AP5804">
            <v>17902907</v>
          </cell>
        </row>
        <row r="5805">
          <cell r="AE5805" t="str">
            <v>04 - NO RENOVADA</v>
          </cell>
          <cell r="AP5805">
            <v>17279740</v>
          </cell>
        </row>
        <row r="5806">
          <cell r="AE5806" t="str">
            <v>04 - NO RENOVADA</v>
          </cell>
          <cell r="AP5806">
            <v>20208003</v>
          </cell>
        </row>
        <row r="5807">
          <cell r="AE5807" t="str">
            <v>04 - NO RENOVADA</v>
          </cell>
          <cell r="AP5807">
            <v>18196540</v>
          </cell>
        </row>
        <row r="5808">
          <cell r="AE5808" t="str">
            <v>04 - NO RENOVADA</v>
          </cell>
          <cell r="AP5808">
            <v>18606542</v>
          </cell>
        </row>
        <row r="5809">
          <cell r="AE5809" t="str">
            <v>04 - NO RENOVADA</v>
          </cell>
          <cell r="AP5809">
            <v>17328235</v>
          </cell>
        </row>
        <row r="5810">
          <cell r="AE5810" t="str">
            <v>04 - NO RENOVADA</v>
          </cell>
          <cell r="AP5810">
            <v>20463757</v>
          </cell>
        </row>
        <row r="5811">
          <cell r="AE5811" t="str">
            <v>04 - NO RENOVADA</v>
          </cell>
          <cell r="AP5811">
            <v>18741362</v>
          </cell>
        </row>
        <row r="5812">
          <cell r="AE5812" t="str">
            <v>04 - NO RENOVADA</v>
          </cell>
          <cell r="AP5812">
            <v>20635595</v>
          </cell>
        </row>
        <row r="5813">
          <cell r="AE5813" t="str">
            <v>04 - NO RENOVADA</v>
          </cell>
          <cell r="AP5813">
            <v>18430898</v>
          </cell>
        </row>
        <row r="5814">
          <cell r="AE5814" t="str">
            <v>04 - NO RENOVADA</v>
          </cell>
          <cell r="AP5814">
            <v>20761347</v>
          </cell>
        </row>
        <row r="5815">
          <cell r="AE5815" t="str">
            <v>04 - NO RENOVADA</v>
          </cell>
          <cell r="AP5815">
            <v>17396575</v>
          </cell>
        </row>
        <row r="5816">
          <cell r="AE5816" t="str">
            <v>04 - NO RENOVADA</v>
          </cell>
          <cell r="AP5816">
            <v>20884787</v>
          </cell>
        </row>
        <row r="5817">
          <cell r="AE5817" t="str">
            <v>04 - NO RENOVADA</v>
          </cell>
          <cell r="AP5817">
            <v>17461227</v>
          </cell>
        </row>
        <row r="5818">
          <cell r="AE5818" t="str">
            <v>04 - NO RENOVADA</v>
          </cell>
          <cell r="AP5818">
            <v>18787807</v>
          </cell>
        </row>
        <row r="5819">
          <cell r="AE5819" t="str">
            <v>04 - NO RENOVADA</v>
          </cell>
          <cell r="AP5819">
            <v>19357600</v>
          </cell>
        </row>
        <row r="5820">
          <cell r="AE5820" t="str">
            <v>04 - NO RENOVADA</v>
          </cell>
          <cell r="AP5820">
            <v>21015933</v>
          </cell>
        </row>
        <row r="5821">
          <cell r="AE5821" t="str">
            <v>04 - NO RENOVADA</v>
          </cell>
          <cell r="AP5821">
            <v>21160582</v>
          </cell>
        </row>
        <row r="5822">
          <cell r="AE5822" t="str">
            <v>04 - NO RENOVADA</v>
          </cell>
          <cell r="AP5822">
            <v>21080961</v>
          </cell>
        </row>
        <row r="5823">
          <cell r="AE5823" t="str">
            <v>04 - NO RENOVADA</v>
          </cell>
          <cell r="AP5823">
            <v>18867082</v>
          </cell>
        </row>
        <row r="5824">
          <cell r="AE5824" t="str">
            <v>04 - NO RENOVADA</v>
          </cell>
          <cell r="AP5824">
            <v>18931030</v>
          </cell>
        </row>
        <row r="5825">
          <cell r="AE5825" t="str">
            <v>04 - NO RENOVADA</v>
          </cell>
          <cell r="AP5825">
            <v>19003459</v>
          </cell>
        </row>
        <row r="5826">
          <cell r="AE5826" t="str">
            <v>04 - NO RENOVADA</v>
          </cell>
          <cell r="AP5826">
            <v>19016257</v>
          </cell>
        </row>
        <row r="5827">
          <cell r="AE5827" t="str">
            <v>04 - NO RENOVADA</v>
          </cell>
          <cell r="AP5827">
            <v>21291081</v>
          </cell>
        </row>
        <row r="5828">
          <cell r="AE5828" t="str">
            <v>04 - NO RENOVADA</v>
          </cell>
          <cell r="AP5828">
            <v>21318149</v>
          </cell>
        </row>
        <row r="5829">
          <cell r="AE5829" t="str">
            <v>04 - NO RENOVADA</v>
          </cell>
          <cell r="AP5829">
            <v>21349747</v>
          </cell>
        </row>
        <row r="5830">
          <cell r="AE5830" t="str">
            <v>04 - NO RENOVADA</v>
          </cell>
          <cell r="AP5830">
            <v>21468317</v>
          </cell>
        </row>
        <row r="5831">
          <cell r="AE5831" t="str">
            <v>04 - NO RENOVADA</v>
          </cell>
          <cell r="AP5831">
            <v>17526237</v>
          </cell>
        </row>
        <row r="5832">
          <cell r="AE5832" t="str">
            <v>04 - NO RENOVADA</v>
          </cell>
          <cell r="AP5832">
            <v>19197490</v>
          </cell>
        </row>
        <row r="5833">
          <cell r="AE5833" t="str">
            <v>04 - NO RENOVADA</v>
          </cell>
          <cell r="AP5833">
            <v>19053171</v>
          </cell>
        </row>
        <row r="5834">
          <cell r="AE5834" t="str">
            <v>04 - NO RENOVADA</v>
          </cell>
          <cell r="AP5834">
            <v>21363602</v>
          </cell>
        </row>
        <row r="5835">
          <cell r="AE5835" t="str">
            <v>04 - NO RENOVADA</v>
          </cell>
          <cell r="AP5835">
            <v>21395522</v>
          </cell>
        </row>
        <row r="5836">
          <cell r="AE5836" t="str">
            <v>04 - NO RENOVADA</v>
          </cell>
          <cell r="AP5836">
            <v>21441539</v>
          </cell>
        </row>
        <row r="5837">
          <cell r="AE5837" t="str">
            <v>04 - NO RENOVADA</v>
          </cell>
          <cell r="AP5837">
            <v>21506978</v>
          </cell>
        </row>
        <row r="5838">
          <cell r="AE5838" t="str">
            <v>04 - NO RENOVADA</v>
          </cell>
          <cell r="AP5838">
            <v>21554813</v>
          </cell>
        </row>
        <row r="5839">
          <cell r="AE5839" t="str">
            <v>04 - NO RENOVADA</v>
          </cell>
          <cell r="AP5839">
            <v>21558434</v>
          </cell>
        </row>
        <row r="5840">
          <cell r="AE5840" t="str">
            <v>04 - NO RENOVADA</v>
          </cell>
          <cell r="AP5840">
            <v>19210815</v>
          </cell>
        </row>
        <row r="5841">
          <cell r="AE5841" t="str">
            <v>03 - PENDIENTE</v>
          </cell>
          <cell r="AP5841">
            <v>17120132</v>
          </cell>
        </row>
        <row r="5842">
          <cell r="AE5842" t="str">
            <v>04 - NO RENOVADA</v>
          </cell>
          <cell r="AP5842">
            <v>17632253</v>
          </cell>
        </row>
        <row r="5843">
          <cell r="AE5843" t="str">
            <v>05 - ANULADA EN VIGENCIA</v>
          </cell>
          <cell r="AP5843">
            <v>602441640</v>
          </cell>
        </row>
        <row r="5844">
          <cell r="AE5844" t="str">
            <v>05 - ANULADA EN VIGENCIA</v>
          </cell>
          <cell r="AP5844">
            <v>31317</v>
          </cell>
        </row>
        <row r="5845">
          <cell r="AE5845" t="str">
            <v>03 - PENDIENTE</v>
          </cell>
          <cell r="AP5845">
            <v>7012400121913</v>
          </cell>
        </row>
        <row r="5846">
          <cell r="AE5846" t="str">
            <v>03 - PENDIENTE</v>
          </cell>
          <cell r="AP5846">
            <v>7022400152101</v>
          </cell>
        </row>
        <row r="5847">
          <cell r="AE5847" t="str">
            <v>03 - PENDIENTE</v>
          </cell>
          <cell r="AP5847">
            <v>62031456</v>
          </cell>
        </row>
        <row r="5848">
          <cell r="AE5848" t="str">
            <v>03 - PENDIENTE</v>
          </cell>
          <cell r="AP5848">
            <v>1128145</v>
          </cell>
        </row>
        <row r="5849">
          <cell r="AE5849" t="str">
            <v>04 - NO RENOVADA</v>
          </cell>
          <cell r="AP5849">
            <v>123654</v>
          </cell>
        </row>
        <row r="5850">
          <cell r="AE5850" t="str">
            <v>04 - NO RENOVADA</v>
          </cell>
          <cell r="AP5850">
            <v>62096174</v>
          </cell>
        </row>
        <row r="5851">
          <cell r="AE5851" t="str">
            <v>04 - NO RENOVADA</v>
          </cell>
          <cell r="AP5851">
            <v>125834</v>
          </cell>
        </row>
        <row r="5852">
          <cell r="AE5852" t="str">
            <v>04 - NO RENOVADA</v>
          </cell>
          <cell r="AP5852">
            <v>62098208</v>
          </cell>
        </row>
        <row r="5853">
          <cell r="AE5853" t="str">
            <v>05 - ANULADA EN VIGENCIA</v>
          </cell>
          <cell r="AP5853">
            <v>602441641</v>
          </cell>
        </row>
        <row r="5854">
          <cell r="AE5854" t="str">
            <v>05 - ANULADA EN VIGENCIA</v>
          </cell>
          <cell r="AP5854">
            <v>31316</v>
          </cell>
        </row>
        <row r="5855">
          <cell r="AE5855" t="str">
            <v>05 - ANULADA EN VIGENCIA</v>
          </cell>
          <cell r="AP5855">
            <v>47587</v>
          </cell>
        </row>
        <row r="5856">
          <cell r="AE5856" t="str">
            <v>05 - ANULADA EN VIGENCIA</v>
          </cell>
          <cell r="AP5856">
            <v>75822970</v>
          </cell>
        </row>
        <row r="5857">
          <cell r="AE5857" t="str">
            <v>05 - ANULADA EN VIGENCIA</v>
          </cell>
          <cell r="AP5857">
            <v>7012300033449</v>
          </cell>
        </row>
        <row r="5858">
          <cell r="AE5858" t="str">
            <v>05 - ANULADA EN VIGENCIA</v>
          </cell>
          <cell r="AP5858">
            <v>7022300041643</v>
          </cell>
        </row>
        <row r="5859">
          <cell r="AE5859" t="str">
            <v>05 - ANULADA EN VIGENCIA</v>
          </cell>
          <cell r="AP5859">
            <v>602783935</v>
          </cell>
        </row>
        <row r="5860">
          <cell r="AE5860" t="str">
            <v>05 - ANULADA EN VIGENCIA</v>
          </cell>
          <cell r="AP5860">
            <v>17063215</v>
          </cell>
        </row>
        <row r="5861">
          <cell r="AE5861" t="str">
            <v>01 - RENOVADA</v>
          </cell>
          <cell r="AP5861">
            <v>604374016</v>
          </cell>
        </row>
        <row r="5862">
          <cell r="AE5862" t="str">
            <v>04 - NO RENOVADA</v>
          </cell>
          <cell r="AP5862" t="str">
            <v>E0028042</v>
          </cell>
        </row>
        <row r="5863">
          <cell r="AE5863" t="str">
            <v>05 - ANULADA EN VIGENCIA</v>
          </cell>
          <cell r="AP5863">
            <v>70125106</v>
          </cell>
        </row>
        <row r="5864">
          <cell r="AE5864" t="str">
            <v>01 - RENOVADA</v>
          </cell>
          <cell r="AP5864" t="str">
            <v>E0028654</v>
          </cell>
        </row>
        <row r="5865">
          <cell r="AE5865" t="str">
            <v>03 - PENDIENTE</v>
          </cell>
          <cell r="AP5865">
            <v>98237</v>
          </cell>
        </row>
        <row r="5866">
          <cell r="AE5866" t="str">
            <v>04 - NO RENOVADA</v>
          </cell>
          <cell r="AP5866">
            <v>17562452</v>
          </cell>
        </row>
        <row r="5867">
          <cell r="AE5867" t="str">
            <v>07 - DEVUELTO A AON</v>
          </cell>
          <cell r="AP5867">
            <v>3012300025777</v>
          </cell>
        </row>
        <row r="5868">
          <cell r="AE5868" t="str">
            <v>07 - DEVUELTO A AON</v>
          </cell>
          <cell r="AP5868">
            <v>3011900056161</v>
          </cell>
        </row>
        <row r="5869">
          <cell r="AE5869" t="str">
            <v>07 - DEVUELTO A AON</v>
          </cell>
          <cell r="AP5869">
            <v>3012300026456</v>
          </cell>
        </row>
        <row r="5870">
          <cell r="AE5870" t="str">
            <v>07 - DEVUELTO A AON</v>
          </cell>
          <cell r="AP5870">
            <v>3012300026458</v>
          </cell>
        </row>
        <row r="5871">
          <cell r="AE5871" t="str">
            <v>03 - PENDIENTE</v>
          </cell>
          <cell r="AP5871">
            <v>21526403</v>
          </cell>
        </row>
        <row r="5872">
          <cell r="AE5872" t="str">
            <v>03 - PENDIENTE</v>
          </cell>
          <cell r="AP5872">
            <v>1000235743</v>
          </cell>
        </row>
        <row r="5873">
          <cell r="AE5873" t="str">
            <v>03 - PENDIENTE</v>
          </cell>
          <cell r="AP5873">
            <v>772912</v>
          </cell>
        </row>
        <row r="5874">
          <cell r="AE5874" t="str">
            <v>04 - NO RENOVADA</v>
          </cell>
          <cell r="AP5874">
            <v>1000112388</v>
          </cell>
        </row>
        <row r="5875">
          <cell r="AE5875" t="str">
            <v>04 - NO RENOVADA</v>
          </cell>
          <cell r="AP5875">
            <v>445234</v>
          </cell>
        </row>
        <row r="5876">
          <cell r="AE5876" t="str">
            <v>05 - ANULADA EN VIGENCIA</v>
          </cell>
          <cell r="AP5876" t="str">
            <v>10-00355-2</v>
          </cell>
        </row>
        <row r="5877">
          <cell r="AE5877" t="str">
            <v>05 - ANULADA EN VIGENCIA</v>
          </cell>
          <cell r="AP5877" t="str">
            <v>10-00355-3</v>
          </cell>
        </row>
        <row r="5878">
          <cell r="AE5878" t="str">
            <v>05 - ANULADA EN VIGENCIA</v>
          </cell>
          <cell r="AP5878">
            <v>16718442</v>
          </cell>
        </row>
        <row r="5879">
          <cell r="AE5879" t="str">
            <v>05 - ANULADA EN VIGENCIA</v>
          </cell>
          <cell r="AP5879">
            <v>16739559</v>
          </cell>
        </row>
        <row r="5880">
          <cell r="AE5880" t="str">
            <v>05 - ANULADA EN VIGENCIA</v>
          </cell>
          <cell r="AP5880">
            <v>111555</v>
          </cell>
        </row>
        <row r="5881">
          <cell r="AE5881" t="str">
            <v>05 - ANULADA EN VIGENCIA</v>
          </cell>
          <cell r="AP5881">
            <v>62084859</v>
          </cell>
        </row>
        <row r="5882">
          <cell r="AE5882" t="str">
            <v>05 - ANULADA EN VIGENCIA</v>
          </cell>
          <cell r="AP5882">
            <v>22</v>
          </cell>
        </row>
        <row r="5883">
          <cell r="AE5883" t="str">
            <v>05 - ANULADA EN VIGENCIA</v>
          </cell>
          <cell r="AP5883">
            <v>111843</v>
          </cell>
        </row>
        <row r="5884">
          <cell r="AE5884" t="str">
            <v>01 - RENOVADA</v>
          </cell>
          <cell r="AP5884" t="str">
            <v>E0028118</v>
          </cell>
        </row>
        <row r="5885">
          <cell r="AE5885" t="str">
            <v>04 - NO RENOVADA</v>
          </cell>
          <cell r="AP5885" t="str">
            <v>P0248869</v>
          </cell>
        </row>
        <row r="5886">
          <cell r="AE5886" t="str">
            <v>04 - NO RENOVADA</v>
          </cell>
          <cell r="AP5886" t="str">
            <v>S0259662</v>
          </cell>
        </row>
        <row r="5887">
          <cell r="AE5887" t="str">
            <v>04 - NO RENOVADA</v>
          </cell>
          <cell r="AP5887">
            <v>401151</v>
          </cell>
        </row>
        <row r="5888">
          <cell r="AE5888" t="str">
            <v>04 - NO RENOVADA</v>
          </cell>
          <cell r="AP5888">
            <v>568338</v>
          </cell>
        </row>
        <row r="5889">
          <cell r="AE5889" t="str">
            <v>03 - PENDIENTE</v>
          </cell>
          <cell r="AP5889">
            <v>7012100122376</v>
          </cell>
        </row>
        <row r="5890">
          <cell r="AE5890" t="str">
            <v>02 - EN PROCESO</v>
          </cell>
          <cell r="AP5890">
            <v>7022400150929</v>
          </cell>
        </row>
        <row r="5891">
          <cell r="AE5891" t="str">
            <v>04 - NO RENOVADA</v>
          </cell>
          <cell r="AP5891">
            <v>78312381</v>
          </cell>
        </row>
        <row r="5892">
          <cell r="AE5892" t="str">
            <v>03 - PENDIENTE</v>
          </cell>
          <cell r="AP5892">
            <v>6102210100011</v>
          </cell>
        </row>
        <row r="5893">
          <cell r="AE5893" t="str">
            <v>05 - ANULADA EN VIGENCIA</v>
          </cell>
          <cell r="AP5893" t="str">
            <v>E0028671</v>
          </cell>
        </row>
        <row r="5894">
          <cell r="AE5894" t="str">
            <v>05 - ANULADA EN VIGENCIA</v>
          </cell>
          <cell r="AP5894">
            <v>78968</v>
          </cell>
        </row>
        <row r="5895">
          <cell r="AE5895" t="str">
            <v>05 - ANULADA EN VIGENCIA</v>
          </cell>
          <cell r="AP5895" t="str">
            <v>E0028311</v>
          </cell>
        </row>
        <row r="5896">
          <cell r="AE5896" t="str">
            <v>04 - NO RENOVADA</v>
          </cell>
          <cell r="AP5896">
            <v>17178024</v>
          </cell>
        </row>
        <row r="5897">
          <cell r="AE5897" t="str">
            <v>05 - ANULADA EN VIGENCIA</v>
          </cell>
          <cell r="AP5897" t="str">
            <v>10-00480-2</v>
          </cell>
        </row>
        <row r="5898">
          <cell r="AE5898" t="str">
            <v>05 - ANULADA EN VIGENCIA</v>
          </cell>
          <cell r="AP5898" t="str">
            <v>10-00057-3</v>
          </cell>
        </row>
        <row r="5899">
          <cell r="AE5899" t="str">
            <v>03 - PENDIENTE</v>
          </cell>
          <cell r="AP5899">
            <v>70193515</v>
          </cell>
        </row>
        <row r="5900">
          <cell r="AE5900" t="str">
            <v>01 - RENOVADA</v>
          </cell>
          <cell r="AP5900">
            <v>70233271</v>
          </cell>
        </row>
        <row r="5901">
          <cell r="AE5901" t="str">
            <v>01 - RENOVADA</v>
          </cell>
          <cell r="AP5901">
            <v>131314</v>
          </cell>
        </row>
        <row r="5902">
          <cell r="AE5902" t="str">
            <v>03 - PENDIENTE</v>
          </cell>
          <cell r="AP5902">
            <v>1300363668</v>
          </cell>
        </row>
        <row r="5903">
          <cell r="AE5903" t="str">
            <v>03 - PENDIENTE</v>
          </cell>
          <cell r="AP5903">
            <v>48447</v>
          </cell>
        </row>
        <row r="5904">
          <cell r="AE5904" t="str">
            <v>03 - PENDIENTE</v>
          </cell>
          <cell r="AP5904">
            <v>1300363664</v>
          </cell>
        </row>
        <row r="5905">
          <cell r="AE5905" t="str">
            <v>03 - PENDIENTE</v>
          </cell>
          <cell r="AP5905" t="str">
            <v>P0326899</v>
          </cell>
        </row>
        <row r="5906">
          <cell r="AE5906" t="str">
            <v>03 - PENDIENTE</v>
          </cell>
          <cell r="AP5906" t="str">
            <v>S0412254</v>
          </cell>
        </row>
        <row r="5907">
          <cell r="AE5907" t="str">
            <v>03 - PENDIENTE</v>
          </cell>
          <cell r="AP5907">
            <v>1300363638</v>
          </cell>
        </row>
        <row r="5908">
          <cell r="AE5908" t="str">
            <v>05 - ANULADA EN VIGENCIA</v>
          </cell>
          <cell r="AP5908">
            <v>80134698</v>
          </cell>
        </row>
        <row r="5909">
          <cell r="AE5909" t="str">
            <v>05 - ANULADA EN VIGENCIA</v>
          </cell>
          <cell r="AP5909">
            <v>80134805</v>
          </cell>
        </row>
        <row r="5910">
          <cell r="AE5910" t="str">
            <v>05 - ANULADA EN VIGENCIA</v>
          </cell>
          <cell r="AP5910" t="str">
            <v>E0028273</v>
          </cell>
        </row>
        <row r="5911">
          <cell r="AE5911" t="str">
            <v>05 - ANULADA EN VIGENCIA</v>
          </cell>
          <cell r="AP5911" t="str">
            <v>PREEMISIONINHABILITADA</v>
          </cell>
        </row>
        <row r="5912">
          <cell r="AE5912" t="str">
            <v>05 - ANULADA EN VIGENCIA</v>
          </cell>
          <cell r="AP5912">
            <v>9221817</v>
          </cell>
        </row>
        <row r="5913">
          <cell r="AE5913" t="str">
            <v>05 - ANULADA EN VIGENCIA</v>
          </cell>
          <cell r="AP5913">
            <v>30350967</v>
          </cell>
        </row>
        <row r="5914">
          <cell r="AE5914" t="str">
            <v>05 - ANULADA EN VIGENCIA</v>
          </cell>
          <cell r="AP5914">
            <v>70162619</v>
          </cell>
        </row>
        <row r="5915">
          <cell r="AE5915" t="str">
            <v>05 - ANULADA EN VIGENCIA</v>
          </cell>
          <cell r="AP5915">
            <v>70109555</v>
          </cell>
        </row>
        <row r="5916">
          <cell r="AE5916" t="str">
            <v>05 - ANULADA EN VIGENCIA</v>
          </cell>
          <cell r="AP5916">
            <v>70142336</v>
          </cell>
        </row>
        <row r="5917">
          <cell r="AE5917" t="str">
            <v>04 - NO RENOVADA</v>
          </cell>
          <cell r="AP5917">
            <v>17499831</v>
          </cell>
        </row>
        <row r="5918">
          <cell r="AE5918" t="str">
            <v>05 - ANULADA EN VIGENCIA</v>
          </cell>
          <cell r="AP5918">
            <v>19493922</v>
          </cell>
        </row>
        <row r="5919">
          <cell r="AE5919" t="str">
            <v>05 - ANULADA EN VIGENCIA</v>
          </cell>
          <cell r="AP5919">
            <v>1272669</v>
          </cell>
        </row>
        <row r="5920">
          <cell r="AE5920" t="str">
            <v>05 - ANULADA EN VIGENCIA</v>
          </cell>
          <cell r="AP5920">
            <v>2007567705</v>
          </cell>
        </row>
        <row r="5921">
          <cell r="AE5921" t="str">
            <v>04 - NO RENOVADA</v>
          </cell>
          <cell r="AP5921">
            <v>16782072</v>
          </cell>
        </row>
        <row r="5922">
          <cell r="AE5922" t="str">
            <v>05 - ANULADA EN VIGENCIA</v>
          </cell>
          <cell r="AP5922">
            <v>8899944</v>
          </cell>
        </row>
        <row r="5923">
          <cell r="AE5923" t="str">
            <v>04 - NO RENOVADA</v>
          </cell>
          <cell r="AP5923">
            <v>7022100034612</v>
          </cell>
        </row>
        <row r="5924">
          <cell r="AE5924" t="str">
            <v>04 - NO RENOVADA</v>
          </cell>
          <cell r="AP5924">
            <v>7012100029621</v>
          </cell>
        </row>
        <row r="5925">
          <cell r="AE5925" t="str">
            <v>04 - NO RENOVADA</v>
          </cell>
          <cell r="AP5925">
            <v>30885</v>
          </cell>
        </row>
        <row r="5926">
          <cell r="AE5926" t="str">
            <v>04 - NO RENOVADA</v>
          </cell>
          <cell r="AP5926">
            <v>602662157</v>
          </cell>
        </row>
        <row r="5927">
          <cell r="AE5927" t="str">
            <v>05 - ANULADA EN VIGENCIA</v>
          </cell>
          <cell r="AP5927">
            <v>16765238</v>
          </cell>
        </row>
        <row r="5928">
          <cell r="AE5928" t="str">
            <v>04 - NO RENOVADA</v>
          </cell>
          <cell r="AP5928">
            <v>17368155</v>
          </cell>
        </row>
        <row r="5929">
          <cell r="AE5929" t="str">
            <v>05 - ANULADA EN VIGENCIA</v>
          </cell>
          <cell r="AP5929">
            <v>17356378</v>
          </cell>
        </row>
        <row r="5930">
          <cell r="AE5930" t="str">
            <v>05 - ANULADA EN VIGENCIA</v>
          </cell>
          <cell r="AP5930">
            <v>78058</v>
          </cell>
        </row>
        <row r="5931">
          <cell r="AE5931" t="str">
            <v>05 - ANULADA EN VIGENCIA</v>
          </cell>
          <cell r="AP5931">
            <v>16720846</v>
          </cell>
        </row>
        <row r="5932">
          <cell r="AE5932" t="str">
            <v>05 - ANULADA EN VIGENCIA</v>
          </cell>
          <cell r="AP5932">
            <v>6102110100412</v>
          </cell>
        </row>
        <row r="5933">
          <cell r="AE5933" t="str">
            <v>05 - ANULADA EN VIGENCIA</v>
          </cell>
          <cell r="AP5933">
            <v>7012100008248</v>
          </cell>
        </row>
        <row r="5934">
          <cell r="AE5934" t="str">
            <v>05 - ANULADA EN VIGENCIA</v>
          </cell>
          <cell r="AP5934">
            <v>7022100009478</v>
          </cell>
        </row>
        <row r="5935">
          <cell r="AE5935" t="str">
            <v>05 - ANULADA EN VIGENCIA</v>
          </cell>
          <cell r="AP5935">
            <v>16727264</v>
          </cell>
        </row>
        <row r="5936">
          <cell r="AE5936" t="str">
            <v>05 - ANULADA EN VIGENCIA</v>
          </cell>
          <cell r="AP5936">
            <v>76086</v>
          </cell>
        </row>
        <row r="5937">
          <cell r="AE5937" t="str">
            <v>05 - ANULADA EN VIGENCIA</v>
          </cell>
          <cell r="AP5937">
            <v>16751878</v>
          </cell>
        </row>
        <row r="5938">
          <cell r="AE5938" t="str">
            <v>05 - ANULADA EN VIGENCIA</v>
          </cell>
          <cell r="AP5938">
            <v>16757908</v>
          </cell>
        </row>
        <row r="5939">
          <cell r="AE5939" t="str">
            <v>05 - ANULADA EN VIGENCIA</v>
          </cell>
          <cell r="AP5939">
            <v>77572</v>
          </cell>
        </row>
        <row r="5940">
          <cell r="AE5940" t="str">
            <v>05 - ANULADA EN VIGENCIA</v>
          </cell>
          <cell r="AP5940">
            <v>16762455</v>
          </cell>
        </row>
        <row r="5941">
          <cell r="AE5941" t="str">
            <v>05 - ANULADA EN VIGENCIA</v>
          </cell>
          <cell r="AP5941">
            <v>16696282</v>
          </cell>
        </row>
        <row r="5942">
          <cell r="AE5942" t="str">
            <v>05 - ANULADA EN VIGENCIA</v>
          </cell>
          <cell r="AP5942">
            <v>16701004</v>
          </cell>
        </row>
        <row r="5943">
          <cell r="AE5943" t="str">
            <v>05 - ANULADA EN VIGENCIA</v>
          </cell>
          <cell r="AP5943">
            <v>7012100000035</v>
          </cell>
        </row>
        <row r="5944">
          <cell r="AE5944" t="str">
            <v>05 - ANULADA EN VIGENCIA</v>
          </cell>
          <cell r="AP5944">
            <v>7022100000030</v>
          </cell>
        </row>
        <row r="5945">
          <cell r="AE5945" t="str">
            <v>05 - ANULADA EN VIGENCIA</v>
          </cell>
          <cell r="AP5945">
            <v>16724105</v>
          </cell>
        </row>
        <row r="5946">
          <cell r="AE5946" t="str">
            <v>05 - ANULADA EN VIGENCIA</v>
          </cell>
          <cell r="AP5946">
            <v>16724628</v>
          </cell>
        </row>
        <row r="5947">
          <cell r="AE5947" t="str">
            <v>05 - ANULADA EN VIGENCIA</v>
          </cell>
          <cell r="AP5947">
            <v>16727124</v>
          </cell>
        </row>
        <row r="5948">
          <cell r="AE5948" t="str">
            <v>05 - ANULADA EN VIGENCIA</v>
          </cell>
          <cell r="AP5948">
            <v>16727307</v>
          </cell>
        </row>
        <row r="5949">
          <cell r="AE5949" t="str">
            <v>05 - ANULADA EN VIGENCIA</v>
          </cell>
          <cell r="AP5949">
            <v>16727466</v>
          </cell>
        </row>
        <row r="5950">
          <cell r="AE5950" t="str">
            <v>05 - ANULADA EN VIGENCIA</v>
          </cell>
          <cell r="AP5950">
            <v>16729138</v>
          </cell>
        </row>
        <row r="5951">
          <cell r="AE5951" t="str">
            <v>05 - ANULADA EN VIGENCIA</v>
          </cell>
          <cell r="AP5951">
            <v>16730709</v>
          </cell>
        </row>
        <row r="5952">
          <cell r="AE5952" t="str">
            <v>05 - ANULADA EN VIGENCIA</v>
          </cell>
          <cell r="AP5952">
            <v>16732029</v>
          </cell>
        </row>
        <row r="5953">
          <cell r="AE5953" t="str">
            <v>05 - ANULADA EN VIGENCIA</v>
          </cell>
          <cell r="AP5953">
            <v>16736241</v>
          </cell>
        </row>
        <row r="5954">
          <cell r="AE5954" t="str">
            <v>05 - ANULADA EN VIGENCIA</v>
          </cell>
          <cell r="AP5954">
            <v>16737643</v>
          </cell>
        </row>
        <row r="5955">
          <cell r="AE5955" t="str">
            <v>01 - RENOVADA</v>
          </cell>
          <cell r="AP5955">
            <v>1517915</v>
          </cell>
        </row>
        <row r="5956">
          <cell r="AE5956" t="str">
            <v>01 - RENOVADA</v>
          </cell>
          <cell r="AP5956">
            <v>1000280714</v>
          </cell>
        </row>
        <row r="5957">
          <cell r="AE5957" t="str">
            <v>05 - ANULADA EN VIGENCIA</v>
          </cell>
          <cell r="AP5957">
            <v>1000203415</v>
          </cell>
        </row>
        <row r="5958">
          <cell r="AE5958" t="str">
            <v>05 - ANULADA EN VIGENCIA</v>
          </cell>
          <cell r="AP5958">
            <v>689495</v>
          </cell>
        </row>
        <row r="5959">
          <cell r="AE5959" t="str">
            <v>01 - RENOVADA</v>
          </cell>
          <cell r="AP5959">
            <v>885168</v>
          </cell>
        </row>
        <row r="5960">
          <cell r="AE5960" t="str">
            <v>01 - RENOVADA</v>
          </cell>
          <cell r="AP5960">
            <v>6000027861</v>
          </cell>
        </row>
        <row r="5961">
          <cell r="AE5961" t="str">
            <v>03 - PENDIENTE</v>
          </cell>
          <cell r="AP5961">
            <v>913279</v>
          </cell>
        </row>
        <row r="5962">
          <cell r="AE5962" t="str">
            <v>03 - PENDIENTE</v>
          </cell>
          <cell r="AP5962">
            <v>1000291441</v>
          </cell>
        </row>
        <row r="5963">
          <cell r="AE5963" t="str">
            <v>05 - ANULADA EN VIGENCIA</v>
          </cell>
          <cell r="AP5963">
            <v>1296826</v>
          </cell>
        </row>
        <row r="5964">
          <cell r="AE5964" t="str">
            <v>05 - ANULADA EN VIGENCIA</v>
          </cell>
          <cell r="AP5964" t="str">
            <v>E0029610</v>
          </cell>
        </row>
        <row r="5965">
          <cell r="AE5965" t="str">
            <v>04 - NO RENOVADA</v>
          </cell>
          <cell r="AP5965">
            <v>84498</v>
          </cell>
        </row>
        <row r="5966">
          <cell r="AE5966" t="str">
            <v>04 - NO RENOVADA</v>
          </cell>
          <cell r="AP5966" t="str">
            <v>10-00069-1</v>
          </cell>
        </row>
        <row r="5967">
          <cell r="AE5967" t="str">
            <v>01 - RENOVADA</v>
          </cell>
          <cell r="AP5967">
            <v>10300</v>
          </cell>
        </row>
        <row r="5968">
          <cell r="AE5968" t="str">
            <v>01 - RENOVADA</v>
          </cell>
          <cell r="AP5968">
            <v>11417</v>
          </cell>
        </row>
        <row r="5969">
          <cell r="AE5969" t="str">
            <v>01 - RENOVADA</v>
          </cell>
          <cell r="AP5969">
            <v>9563396</v>
          </cell>
        </row>
        <row r="5970">
          <cell r="AE5970" t="str">
            <v>05 - ANULADA EN VIGENCIA</v>
          </cell>
          <cell r="AP5970">
            <v>1000166278</v>
          </cell>
        </row>
        <row r="5971">
          <cell r="AE5971" t="str">
            <v>05 - ANULADA EN VIGENCIA</v>
          </cell>
          <cell r="AP5971">
            <v>593864</v>
          </cell>
        </row>
        <row r="5972">
          <cell r="AE5972" t="str">
            <v>04 - NO RENOVADA</v>
          </cell>
          <cell r="AP5972">
            <v>92664</v>
          </cell>
        </row>
        <row r="5973">
          <cell r="AE5973" t="str">
            <v>03 - PENDIENTE</v>
          </cell>
          <cell r="AP5973">
            <v>1000220222</v>
          </cell>
        </row>
        <row r="5974">
          <cell r="AE5974" t="str">
            <v>03 - PENDIENTE</v>
          </cell>
          <cell r="AP5974">
            <v>732870</v>
          </cell>
        </row>
        <row r="5975">
          <cell r="AE5975" t="str">
            <v>03 - PENDIENTE</v>
          </cell>
          <cell r="AP5975">
            <v>6000023920</v>
          </cell>
        </row>
        <row r="5976">
          <cell r="AE5976" t="str">
            <v>04 - NO RENOVADA</v>
          </cell>
          <cell r="AP5976" t="str">
            <v>E0030339</v>
          </cell>
        </row>
        <row r="5977">
          <cell r="AE5977" t="str">
            <v>08 - VIGENCIA ANTERIOR</v>
          </cell>
          <cell r="AP5977">
            <v>30405</v>
          </cell>
        </row>
        <row r="5978">
          <cell r="AE5978" t="str">
            <v>05 - ANULADA EN VIGENCIA</v>
          </cell>
          <cell r="AP5978">
            <v>602439736</v>
          </cell>
        </row>
        <row r="5979">
          <cell r="AE5979" t="str">
            <v>05 - ANULADA EN VIGENCIA</v>
          </cell>
          <cell r="AP5979">
            <v>80434</v>
          </cell>
        </row>
        <row r="5980">
          <cell r="AE5980" t="str">
            <v>01 - RENOVADA</v>
          </cell>
          <cell r="AP5980">
            <v>70235857</v>
          </cell>
        </row>
        <row r="5981">
          <cell r="AE5981" t="str">
            <v>01 - RENOVADA</v>
          </cell>
          <cell r="AP5981">
            <v>220026808</v>
          </cell>
        </row>
        <row r="5982">
          <cell r="AE5982" t="str">
            <v>04 - NO RENOVADA</v>
          </cell>
          <cell r="AP5982">
            <v>6102500006263</v>
          </cell>
        </row>
        <row r="5983">
          <cell r="AE5983" t="str">
            <v>01 - RENOVADA</v>
          </cell>
          <cell r="AP5983">
            <v>2402410101910</v>
          </cell>
        </row>
        <row r="5984">
          <cell r="AE5984" t="str">
            <v>01 - RENOVADA</v>
          </cell>
          <cell r="AP5984">
            <v>2402410101911</v>
          </cell>
        </row>
        <row r="5985">
          <cell r="AE5985" t="str">
            <v>01 - RENOVADA</v>
          </cell>
          <cell r="AP5985">
            <v>2202410100472</v>
          </cell>
        </row>
        <row r="5986">
          <cell r="AE5986" t="str">
            <v>01 - RENOVADA</v>
          </cell>
          <cell r="AP5986">
            <v>2202410100473</v>
          </cell>
        </row>
        <row r="5987">
          <cell r="AE5987" t="str">
            <v>05 - ANULADA EN VIGENCIA</v>
          </cell>
          <cell r="AP5987">
            <v>2008796954</v>
          </cell>
        </row>
        <row r="5988">
          <cell r="AE5988" t="str">
            <v>04 - NO RENOVADA</v>
          </cell>
          <cell r="AP5988">
            <v>2007611136</v>
          </cell>
        </row>
        <row r="5989">
          <cell r="AE5989" t="str">
            <v>05 - ANULADA EN VIGENCIA</v>
          </cell>
          <cell r="AP5989">
            <v>2009000288</v>
          </cell>
        </row>
        <row r="5990">
          <cell r="AE5990" t="str">
            <v>01 - RENOVADA</v>
          </cell>
          <cell r="AP5990">
            <v>17374396</v>
          </cell>
        </row>
        <row r="5991">
          <cell r="AE5991" t="str">
            <v>05 - ANULADA EN VIGENCIA</v>
          </cell>
          <cell r="AP5991">
            <v>31319</v>
          </cell>
        </row>
        <row r="5992">
          <cell r="AE5992" t="str">
            <v>05 - ANULADA EN VIGENCIA</v>
          </cell>
          <cell r="AP5992">
            <v>602894534</v>
          </cell>
        </row>
        <row r="5993">
          <cell r="AE5993" t="str">
            <v>01 - RENOVADA</v>
          </cell>
          <cell r="AP5993">
            <v>3011900065483</v>
          </cell>
        </row>
        <row r="5994">
          <cell r="AE5994" t="str">
            <v>01 - RENOVADA</v>
          </cell>
          <cell r="AP5994">
            <v>3011020000708</v>
          </cell>
        </row>
        <row r="5995">
          <cell r="AE5995" t="str">
            <v>02 - EN PROCESO</v>
          </cell>
          <cell r="AP5995">
            <v>1000247315</v>
          </cell>
        </row>
        <row r="5996">
          <cell r="AE5996" t="str">
            <v>02 - EN PROCESO</v>
          </cell>
          <cell r="AP5996">
            <v>802279</v>
          </cell>
        </row>
        <row r="5997">
          <cell r="AE5997" t="str">
            <v>05 - ANULADA EN VIGENCIA</v>
          </cell>
          <cell r="AP5997">
            <v>1000244230</v>
          </cell>
        </row>
        <row r="5998">
          <cell r="AE5998" t="str">
            <v>05 - ANULADA EN VIGENCIA</v>
          </cell>
          <cell r="AP5998">
            <v>794872</v>
          </cell>
        </row>
        <row r="5999">
          <cell r="AE5999" t="str">
            <v>04 - NO RENOVADA</v>
          </cell>
          <cell r="AP5999">
            <v>122716</v>
          </cell>
        </row>
        <row r="6000">
          <cell r="AE6000" t="str">
            <v>04 - NO RENOVADA</v>
          </cell>
          <cell r="AP6000">
            <v>62095240</v>
          </cell>
        </row>
        <row r="6001">
          <cell r="AE6001" t="str">
            <v>05 - ANULADA EN VIGENCIA</v>
          </cell>
          <cell r="AP6001">
            <v>7012100095622</v>
          </cell>
        </row>
        <row r="6002">
          <cell r="AE6002" t="str">
            <v>02 - EN PROCESO</v>
          </cell>
          <cell r="AP6002">
            <v>1300369302</v>
          </cell>
        </row>
        <row r="6003">
          <cell r="AE6003" t="str">
            <v>05 - ANULADA EN VIGENCIA</v>
          </cell>
          <cell r="AP6003">
            <v>83967</v>
          </cell>
        </row>
        <row r="6004">
          <cell r="AE6004" t="str">
            <v>05 - ANULADA EN VIGENCIA</v>
          </cell>
          <cell r="AP6004">
            <v>127159</v>
          </cell>
        </row>
        <row r="6005">
          <cell r="AE6005" t="str">
            <v>05 - ANULADA EN VIGENCIA</v>
          </cell>
          <cell r="AP6005">
            <v>62099508</v>
          </cell>
        </row>
        <row r="6006">
          <cell r="AE6006" t="str">
            <v>01 - RENOVADA</v>
          </cell>
          <cell r="AP6006">
            <v>602760580</v>
          </cell>
        </row>
        <row r="6007">
          <cell r="AE6007" t="str">
            <v>03 - PENDIENTE</v>
          </cell>
          <cell r="AP6007">
            <v>83344</v>
          </cell>
        </row>
        <row r="6008">
          <cell r="AE6008" t="str">
            <v>01 - RENOVADA</v>
          </cell>
          <cell r="AP6008">
            <v>50098</v>
          </cell>
        </row>
        <row r="6009">
          <cell r="AE6009" t="str">
            <v>01 - RENOVADA</v>
          </cell>
          <cell r="AP6009">
            <v>1495169</v>
          </cell>
        </row>
        <row r="6010">
          <cell r="AE6010" t="str">
            <v>07 - DEVUELTO A AON</v>
          </cell>
          <cell r="AP6010">
            <v>545448</v>
          </cell>
        </row>
        <row r="6011">
          <cell r="AE6011" t="str">
            <v>07 - DEVUELTO A AON</v>
          </cell>
          <cell r="AP6011">
            <v>502157</v>
          </cell>
        </row>
        <row r="6012">
          <cell r="AE6012" t="str">
            <v>01 - RENOVADA</v>
          </cell>
          <cell r="AP6012">
            <v>2742315100008</v>
          </cell>
        </row>
        <row r="6013">
          <cell r="AE6013" t="str">
            <v>08 - VIGENCIA ANTERIOR</v>
          </cell>
          <cell r="AP6013" t="str">
            <v>30-00136-1</v>
          </cell>
        </row>
        <row r="6014">
          <cell r="AE6014" t="str">
            <v>01 - RENOVADA</v>
          </cell>
          <cell r="AP6014">
            <v>2502415800003</v>
          </cell>
        </row>
        <row r="6015">
          <cell r="AE6015" t="str">
            <v>01 - RENOVADA</v>
          </cell>
          <cell r="AP6015">
            <v>2522415800011</v>
          </cell>
        </row>
        <row r="6016">
          <cell r="AE6016" t="str">
            <v>05 - ANULADA EN VIGENCIA</v>
          </cell>
          <cell r="AP6016" t="str">
            <v>E0029005</v>
          </cell>
        </row>
        <row r="6017">
          <cell r="AE6017" t="str">
            <v>05 - ANULADA EN VIGENCIA</v>
          </cell>
          <cell r="AP6017">
            <v>467</v>
          </cell>
        </row>
        <row r="6018">
          <cell r="AE6018" t="str">
            <v>03 - PENDIENTE</v>
          </cell>
          <cell r="AP6018">
            <v>127469</v>
          </cell>
        </row>
        <row r="6019">
          <cell r="AE6019" t="str">
            <v>03 - PENDIENTE</v>
          </cell>
          <cell r="AP6019">
            <v>62099819</v>
          </cell>
        </row>
        <row r="6020">
          <cell r="AE6020" t="str">
            <v>01 - RENOVADA</v>
          </cell>
          <cell r="AP6020">
            <v>603060377</v>
          </cell>
        </row>
        <row r="6021">
          <cell r="AE6021" t="str">
            <v>04 - NO RENOVADA</v>
          </cell>
          <cell r="AP6021">
            <v>122558</v>
          </cell>
        </row>
        <row r="6022">
          <cell r="AE6022" t="str">
            <v>04 - NO RENOVADA</v>
          </cell>
          <cell r="AP6022">
            <v>62095092</v>
          </cell>
        </row>
        <row r="6023">
          <cell r="AE6023" t="str">
            <v>04 - NO RENOVADA</v>
          </cell>
          <cell r="AP6023" t="str">
            <v>P0302705</v>
          </cell>
        </row>
        <row r="6024">
          <cell r="AE6024" t="str">
            <v>01 - RENOVADA</v>
          </cell>
          <cell r="AP6024" t="str">
            <v>E0038807</v>
          </cell>
        </row>
        <row r="6025">
          <cell r="AE6025" t="str">
            <v>03 - PENDIENTE</v>
          </cell>
          <cell r="AP6025">
            <v>1300044381</v>
          </cell>
        </row>
        <row r="6026">
          <cell r="AE6026" t="str">
            <v>03 - PENDIENTE</v>
          </cell>
          <cell r="AP6026">
            <v>47641</v>
          </cell>
        </row>
        <row r="6027">
          <cell r="AE6027" t="str">
            <v>04 - NO RENOVADA</v>
          </cell>
          <cell r="AP6027">
            <v>46332</v>
          </cell>
        </row>
        <row r="6028">
          <cell r="AE6028" t="str">
            <v>02 - EN PROCESO</v>
          </cell>
          <cell r="AP6028">
            <v>48316</v>
          </cell>
        </row>
        <row r="6029">
          <cell r="AE6029" t="str">
            <v>01 - RENOVADA</v>
          </cell>
          <cell r="AP6029" t="str">
            <v>E0035134</v>
          </cell>
        </row>
        <row r="6030">
          <cell r="AE6030" t="str">
            <v>04 - NO RENOVADA</v>
          </cell>
          <cell r="AP6030">
            <v>16933437</v>
          </cell>
        </row>
        <row r="6031">
          <cell r="AE6031" t="str">
            <v>01 - RENOVADA</v>
          </cell>
          <cell r="AP6031">
            <v>603197638</v>
          </cell>
        </row>
        <row r="6032">
          <cell r="AE6032" t="str">
            <v>01 - RENOVADA</v>
          </cell>
          <cell r="AP6032">
            <v>620101619</v>
          </cell>
        </row>
        <row r="6033">
          <cell r="AE6033" t="str">
            <v>03 - PENDIENTE</v>
          </cell>
          <cell r="AP6033">
            <v>1300049736</v>
          </cell>
        </row>
        <row r="6034">
          <cell r="AE6034" t="str">
            <v>03 - PENDIENTE</v>
          </cell>
          <cell r="AP6034">
            <v>1129959</v>
          </cell>
        </row>
        <row r="6035">
          <cell r="AE6035" t="str">
            <v>03 - PENDIENTE</v>
          </cell>
          <cell r="AP6035">
            <v>1131099</v>
          </cell>
        </row>
        <row r="6036">
          <cell r="AE6036" t="str">
            <v>03 - PENDIENTE</v>
          </cell>
          <cell r="AP6036">
            <v>620103162</v>
          </cell>
        </row>
        <row r="6037">
          <cell r="AE6037" t="str">
            <v>02 - EN PROCESO</v>
          </cell>
          <cell r="AP6037">
            <v>17504249</v>
          </cell>
        </row>
        <row r="6038">
          <cell r="AE6038" t="str">
            <v>02 - EN PROCESO</v>
          </cell>
          <cell r="AP6038">
            <v>17504256</v>
          </cell>
        </row>
        <row r="6039">
          <cell r="AE6039" t="str">
            <v>04 - NO RENOVADA</v>
          </cell>
          <cell r="AP6039" t="str">
            <v>P0306979</v>
          </cell>
        </row>
        <row r="6040">
          <cell r="AE6040" t="str">
            <v>04 - NO RENOVADA</v>
          </cell>
          <cell r="AP6040" t="str">
            <v>S0382420</v>
          </cell>
        </row>
        <row r="6041">
          <cell r="AE6041" t="str">
            <v>05 - ANULADA EN VIGENCIA</v>
          </cell>
          <cell r="AP6041">
            <v>7012400107668</v>
          </cell>
        </row>
        <row r="6042">
          <cell r="AE6042" t="str">
            <v>05 - ANULADA EN VIGENCIA</v>
          </cell>
          <cell r="AP6042">
            <v>7022400134231</v>
          </cell>
        </row>
        <row r="6043">
          <cell r="AE6043" t="str">
            <v>03 - PENDIENTE</v>
          </cell>
          <cell r="AP6043">
            <v>17616110</v>
          </cell>
        </row>
        <row r="6044">
          <cell r="AE6044" t="str">
            <v>03 - PENDIENTE</v>
          </cell>
          <cell r="AP6044" t="str">
            <v>E0029411</v>
          </cell>
        </row>
        <row r="6045">
          <cell r="AE6045" t="str">
            <v>01 - RENOVADA</v>
          </cell>
          <cell r="AP6045">
            <v>126219</v>
          </cell>
        </row>
        <row r="6046">
          <cell r="AE6046" t="str">
            <v>02 - EN PROCESO</v>
          </cell>
          <cell r="AP6046">
            <v>114225</v>
          </cell>
        </row>
        <row r="6047">
          <cell r="AE6047" t="str">
            <v>04 - NO RENOVADA</v>
          </cell>
          <cell r="AP6047" t="str">
            <v>S0375728</v>
          </cell>
        </row>
        <row r="6048">
          <cell r="AE6048" t="str">
            <v>03 - PENDIENTE</v>
          </cell>
          <cell r="AP6048" t="str">
            <v>E0033183</v>
          </cell>
        </row>
        <row r="6049">
          <cell r="AE6049" t="str">
            <v>05 - ANULADA EN VIGENCIA</v>
          </cell>
          <cell r="AP6049">
            <v>136693118</v>
          </cell>
        </row>
        <row r="6050">
          <cell r="AE6050" t="str">
            <v>01 - RENOVADA</v>
          </cell>
          <cell r="AP6050">
            <v>602985781</v>
          </cell>
        </row>
        <row r="6051">
          <cell r="AE6051" t="str">
            <v>01 - RENOVADA</v>
          </cell>
          <cell r="AP6051">
            <v>603094428</v>
          </cell>
        </row>
        <row r="6052">
          <cell r="AE6052" t="str">
            <v>03 - PENDIENTE</v>
          </cell>
          <cell r="AP6052">
            <v>90158</v>
          </cell>
        </row>
        <row r="6053">
          <cell r="AE6053" t="str">
            <v>04 - NO RENOVADA</v>
          </cell>
          <cell r="AP6053">
            <v>17137409</v>
          </cell>
        </row>
        <row r="6054">
          <cell r="AE6054" t="str">
            <v>05 - ANULADA EN VIGENCIA</v>
          </cell>
          <cell r="AP6054">
            <v>18016061</v>
          </cell>
        </row>
        <row r="6055">
          <cell r="AE6055" t="str">
            <v>04 - NO RENOVADA</v>
          </cell>
          <cell r="AP6055">
            <v>677169</v>
          </cell>
        </row>
        <row r="6056">
          <cell r="AE6056" t="str">
            <v>04 - NO RENOVADA</v>
          </cell>
          <cell r="AP6056">
            <v>1000198472</v>
          </cell>
        </row>
        <row r="6057">
          <cell r="AE6057" t="str">
            <v>03 - PENDIENTE</v>
          </cell>
          <cell r="AP6057">
            <v>1000219167</v>
          </cell>
        </row>
        <row r="6058">
          <cell r="AE6058" t="str">
            <v>03 - PENDIENTE</v>
          </cell>
          <cell r="AP6058">
            <v>730107</v>
          </cell>
        </row>
        <row r="6059">
          <cell r="AE6059" t="str">
            <v>01 - RENOVADA</v>
          </cell>
          <cell r="AP6059">
            <v>6102400003755</v>
          </cell>
        </row>
        <row r="6060">
          <cell r="AE6060" t="str">
            <v>03 - PENDIENTE</v>
          </cell>
          <cell r="AP6060">
            <v>94616743</v>
          </cell>
        </row>
        <row r="6061">
          <cell r="AE6061" t="str">
            <v>01 - RENOVADA</v>
          </cell>
          <cell r="AP6061" t="str">
            <v>E0029811</v>
          </cell>
        </row>
        <row r="6062">
          <cell r="AE6062" t="str">
            <v>02 - EN PROCESO</v>
          </cell>
          <cell r="AP6062">
            <v>45750</v>
          </cell>
        </row>
        <row r="6063">
          <cell r="AE6063" t="str">
            <v>05 - ANULADA EN VIGENCIA</v>
          </cell>
          <cell r="AP6063">
            <v>32079</v>
          </cell>
        </row>
        <row r="6064">
          <cell r="AE6064" t="str">
            <v>02 - EN PROCESO</v>
          </cell>
          <cell r="AP6064">
            <v>1000242546</v>
          </cell>
        </row>
        <row r="6065">
          <cell r="AE6065" t="str">
            <v>02 - EN PROCESO</v>
          </cell>
          <cell r="AP6065">
            <v>790597</v>
          </cell>
        </row>
        <row r="6066">
          <cell r="AE6066" t="str">
            <v>04 - NO RENOVADA</v>
          </cell>
          <cell r="AP6066">
            <v>1000188134</v>
          </cell>
        </row>
        <row r="6067">
          <cell r="AE6067" t="str">
            <v>04 - NO RENOVADA</v>
          </cell>
          <cell r="AP6067">
            <v>650900</v>
          </cell>
        </row>
        <row r="6068">
          <cell r="AE6068" t="str">
            <v>04 - NO RENOVADA</v>
          </cell>
          <cell r="AP6068">
            <v>7012300066792</v>
          </cell>
        </row>
        <row r="6069">
          <cell r="AE6069" t="str">
            <v>04 - NO RENOVADA</v>
          </cell>
          <cell r="AP6069">
            <v>7022300082890</v>
          </cell>
        </row>
        <row r="6070">
          <cell r="AE6070" t="str">
            <v>01 - RENOVADA</v>
          </cell>
          <cell r="AP6070">
            <v>53776</v>
          </cell>
        </row>
        <row r="6071">
          <cell r="AE6071" t="str">
            <v>01 - RENOVADA</v>
          </cell>
          <cell r="AP6071">
            <v>53775</v>
          </cell>
        </row>
        <row r="6072">
          <cell r="AE6072" t="str">
            <v>01 - RENOVADA</v>
          </cell>
          <cell r="AP6072">
            <v>53777</v>
          </cell>
        </row>
        <row r="6073">
          <cell r="AE6073" t="str">
            <v>01 - RENOVADA</v>
          </cell>
          <cell r="AP6073">
            <v>53778</v>
          </cell>
        </row>
        <row r="6074">
          <cell r="AE6074" t="str">
            <v>01 - RENOVADA</v>
          </cell>
          <cell r="AP6074">
            <v>53783</v>
          </cell>
        </row>
        <row r="6075">
          <cell r="AE6075" t="str">
            <v>03 - PENDIENTE</v>
          </cell>
          <cell r="AP6075">
            <v>48411</v>
          </cell>
        </row>
        <row r="6076">
          <cell r="AE6076" t="str">
            <v>04 - NO RENOVADA</v>
          </cell>
          <cell r="AP6076">
            <v>53343</v>
          </cell>
        </row>
        <row r="6077">
          <cell r="AE6077" t="str">
            <v>04 - NO RENOVADA</v>
          </cell>
          <cell r="AP6077">
            <v>53519</v>
          </cell>
        </row>
        <row r="6078">
          <cell r="AE6078" t="str">
            <v>01 - RENOVADA</v>
          </cell>
          <cell r="AP6078">
            <v>52226</v>
          </cell>
        </row>
        <row r="6079">
          <cell r="AE6079" t="str">
            <v>01 - RENOVADA</v>
          </cell>
          <cell r="AP6079">
            <v>52285</v>
          </cell>
        </row>
        <row r="6080">
          <cell r="AE6080" t="str">
            <v>01 - RENOVADA</v>
          </cell>
          <cell r="AP6080">
            <v>52231</v>
          </cell>
        </row>
        <row r="6081">
          <cell r="AE6081" t="str">
            <v>01 - RENOVADA</v>
          </cell>
          <cell r="AP6081">
            <v>54293</v>
          </cell>
        </row>
        <row r="6082">
          <cell r="AE6082" t="str">
            <v>01 - RENOVADA</v>
          </cell>
          <cell r="AP6082">
            <v>54305</v>
          </cell>
        </row>
        <row r="6083">
          <cell r="AE6083" t="str">
            <v>01 - RENOVADA</v>
          </cell>
          <cell r="AP6083">
            <v>54307</v>
          </cell>
        </row>
        <row r="6084">
          <cell r="AE6084" t="str">
            <v>01 - RENOVADA</v>
          </cell>
          <cell r="AP6084">
            <v>54317</v>
          </cell>
        </row>
        <row r="6085">
          <cell r="AE6085" t="str">
            <v>03 - PENDIENTE</v>
          </cell>
          <cell r="AP6085">
            <v>54590</v>
          </cell>
        </row>
        <row r="6086">
          <cell r="AE6086" t="str">
            <v>05 - ANULADA EN VIGENCIA</v>
          </cell>
          <cell r="AP6086">
            <v>110673</v>
          </cell>
        </row>
        <row r="6087">
          <cell r="AE6087" t="str">
            <v>03 - PENDIENTE</v>
          </cell>
          <cell r="AP6087">
            <v>2009098775</v>
          </cell>
        </row>
        <row r="6088">
          <cell r="AE6088" t="str">
            <v>03 - PENDIENTE</v>
          </cell>
          <cell r="AP6088">
            <v>1300359823</v>
          </cell>
        </row>
        <row r="6089">
          <cell r="AE6089" t="str">
            <v>01 - RENOVADA</v>
          </cell>
          <cell r="AP6089">
            <v>52341</v>
          </cell>
        </row>
        <row r="6090">
          <cell r="AE6090" t="str">
            <v>05 - ANULADA EN VIGENCIA</v>
          </cell>
          <cell r="AP6090">
            <v>52598</v>
          </cell>
        </row>
        <row r="6091">
          <cell r="AE6091" t="str">
            <v>03 - PENDIENTE</v>
          </cell>
          <cell r="AP6091">
            <v>52540</v>
          </cell>
        </row>
        <row r="6092">
          <cell r="AE6092" t="str">
            <v>01 - RENOVADA</v>
          </cell>
          <cell r="AP6092" t="str">
            <v>E0032428</v>
          </cell>
        </row>
        <row r="6093">
          <cell r="AE6093" t="str">
            <v>02 - EN PROCESO</v>
          </cell>
          <cell r="AP6093">
            <v>46781</v>
          </cell>
        </row>
        <row r="6094">
          <cell r="AE6094" t="str">
            <v>03 - PENDIENTE</v>
          </cell>
          <cell r="AP6094">
            <v>1300180639</v>
          </cell>
        </row>
        <row r="6095">
          <cell r="AE6095" t="str">
            <v>01 - RENOVADA</v>
          </cell>
          <cell r="AP6095">
            <v>1300391328</v>
          </cell>
        </row>
        <row r="6096">
          <cell r="AE6096" t="str">
            <v>05 - ANULADA EN VIGENCIA</v>
          </cell>
          <cell r="AP6096">
            <v>1300248301</v>
          </cell>
        </row>
        <row r="6097">
          <cell r="AE6097" t="str">
            <v>05 - ANULADA EN VIGENCIA</v>
          </cell>
          <cell r="AP6097">
            <v>125770</v>
          </cell>
        </row>
        <row r="6098">
          <cell r="AE6098" t="str">
            <v>05 - ANULADA EN VIGENCIA</v>
          </cell>
          <cell r="AP6098">
            <v>62098146</v>
          </cell>
        </row>
        <row r="6099">
          <cell r="AE6099" t="str">
            <v>04 - NO RENOVADA</v>
          </cell>
          <cell r="AP6099">
            <v>1300191212</v>
          </cell>
        </row>
        <row r="6100">
          <cell r="AE6100" t="str">
            <v>01 - RENOVADA</v>
          </cell>
          <cell r="AP6100">
            <v>603343090</v>
          </cell>
        </row>
        <row r="6101">
          <cell r="AE6101" t="str">
            <v>04 - NO RENOVADA</v>
          </cell>
          <cell r="AP6101">
            <v>94910595</v>
          </cell>
        </row>
        <row r="6102">
          <cell r="AE6102" t="str">
            <v>04 - NO RENOVADA</v>
          </cell>
          <cell r="AP6102">
            <v>7012200034977</v>
          </cell>
        </row>
        <row r="6103">
          <cell r="AE6103" t="str">
            <v>04 - NO RENOVADA</v>
          </cell>
          <cell r="AP6103">
            <v>7022200040704</v>
          </cell>
        </row>
        <row r="6104">
          <cell r="AE6104" t="str">
            <v>01 - RENOVADA</v>
          </cell>
          <cell r="AP6104">
            <v>604465064</v>
          </cell>
        </row>
        <row r="6105">
          <cell r="AE6105" t="str">
            <v>04 - NO RENOVADA</v>
          </cell>
          <cell r="AP6105">
            <v>19452540</v>
          </cell>
        </row>
        <row r="6106">
          <cell r="AE6106" t="str">
            <v>04 - NO RENOVADA</v>
          </cell>
          <cell r="AP6106">
            <v>18015616</v>
          </cell>
        </row>
        <row r="6107">
          <cell r="AE6107" t="str">
            <v>04 - NO RENOVADA</v>
          </cell>
          <cell r="AP6107">
            <v>18137839</v>
          </cell>
        </row>
        <row r="6108">
          <cell r="AE6108" t="str">
            <v>04 - NO RENOVADA</v>
          </cell>
          <cell r="AP6108">
            <v>18343552</v>
          </cell>
        </row>
        <row r="6109">
          <cell r="AE6109" t="str">
            <v>04 - NO RENOVADA</v>
          </cell>
          <cell r="AP6109">
            <v>18391498</v>
          </cell>
        </row>
        <row r="6110">
          <cell r="AE6110" t="str">
            <v>04 - NO RENOVADA</v>
          </cell>
          <cell r="AP6110">
            <v>18440347</v>
          </cell>
        </row>
        <row r="6111">
          <cell r="AE6111" t="str">
            <v>04 - NO RENOVADA</v>
          </cell>
          <cell r="AP6111">
            <v>18912581</v>
          </cell>
        </row>
        <row r="6112">
          <cell r="AE6112" t="str">
            <v>04 - NO RENOVADA</v>
          </cell>
          <cell r="AP6112">
            <v>17466242</v>
          </cell>
        </row>
        <row r="6113">
          <cell r="AE6113" t="str">
            <v>04 - NO RENOVADA</v>
          </cell>
          <cell r="AP6113">
            <v>18845383</v>
          </cell>
        </row>
        <row r="6114">
          <cell r="AE6114" t="str">
            <v>04 - NO RENOVADA</v>
          </cell>
          <cell r="AP6114">
            <v>17480234</v>
          </cell>
        </row>
        <row r="6115">
          <cell r="AE6115" t="str">
            <v>04 - NO RENOVADA</v>
          </cell>
          <cell r="AP6115">
            <v>17489308</v>
          </cell>
        </row>
        <row r="6116">
          <cell r="AE6116" t="str">
            <v>04 - NO RENOVADA</v>
          </cell>
          <cell r="AP6116">
            <v>17490961</v>
          </cell>
        </row>
        <row r="6117">
          <cell r="AE6117" t="str">
            <v>04 - NO RENOVADA</v>
          </cell>
          <cell r="AP6117">
            <v>17499828</v>
          </cell>
        </row>
        <row r="6118">
          <cell r="AE6118" t="str">
            <v>04 - NO RENOVADA</v>
          </cell>
          <cell r="AP6118">
            <v>17504487</v>
          </cell>
        </row>
        <row r="6119">
          <cell r="AE6119" t="str">
            <v>04 - NO RENOVADA</v>
          </cell>
          <cell r="AP6119">
            <v>17524773</v>
          </cell>
        </row>
        <row r="6120">
          <cell r="AE6120" t="str">
            <v>04 - NO RENOVADA</v>
          </cell>
          <cell r="AP6120">
            <v>17525865</v>
          </cell>
        </row>
        <row r="6121">
          <cell r="AE6121" t="str">
            <v>04 - NO RENOVADA</v>
          </cell>
          <cell r="AP6121">
            <v>19108511</v>
          </cell>
        </row>
        <row r="6122">
          <cell r="AE6122" t="str">
            <v>04 - NO RENOVADA</v>
          </cell>
          <cell r="AP6122">
            <v>19167548</v>
          </cell>
        </row>
        <row r="6123">
          <cell r="AE6123" t="str">
            <v>04 - NO RENOVADA</v>
          </cell>
          <cell r="AP6123">
            <v>17612042</v>
          </cell>
        </row>
        <row r="6124">
          <cell r="AE6124" t="str">
            <v>05 - ANULADA EN VIGENCIA</v>
          </cell>
          <cell r="AP6124">
            <v>17838619</v>
          </cell>
        </row>
        <row r="6125">
          <cell r="AE6125" t="str">
            <v>05 - ANULADA EN VIGENCIA</v>
          </cell>
          <cell r="AP6125">
            <v>17433998</v>
          </cell>
        </row>
        <row r="6126">
          <cell r="AE6126" t="str">
            <v>05 - ANULADA EN VIGENCIA</v>
          </cell>
          <cell r="AP6126">
            <v>17431429</v>
          </cell>
        </row>
        <row r="6127">
          <cell r="AE6127" t="str">
            <v>05 - ANULADA EN VIGENCIA</v>
          </cell>
          <cell r="AP6127">
            <v>17433536</v>
          </cell>
        </row>
        <row r="6128">
          <cell r="AE6128" t="str">
            <v>05 - ANULADA EN VIGENCIA</v>
          </cell>
          <cell r="AP6128">
            <v>1300358683</v>
          </cell>
        </row>
        <row r="6129">
          <cell r="AE6129" t="str">
            <v>04 - NO RENOVADA</v>
          </cell>
          <cell r="AP6129">
            <v>603345597</v>
          </cell>
        </row>
        <row r="6130">
          <cell r="AE6130" t="str">
            <v>08 - VIGENCIA ANTERIOR</v>
          </cell>
          <cell r="AP6130">
            <v>32727</v>
          </cell>
        </row>
        <row r="6131">
          <cell r="AE6131" t="str">
            <v>03 - PENDIENTE</v>
          </cell>
          <cell r="AP6131" t="str">
            <v>P0280019</v>
          </cell>
        </row>
        <row r="6132">
          <cell r="AE6132" t="str">
            <v>03 - PENDIENTE</v>
          </cell>
          <cell r="AP6132" t="str">
            <v>S0338635</v>
          </cell>
        </row>
        <row r="6133">
          <cell r="AE6133" t="str">
            <v>03 - PENDIENTE</v>
          </cell>
          <cell r="AP6133">
            <v>1300188298</v>
          </cell>
        </row>
        <row r="6134">
          <cell r="AE6134" t="str">
            <v>03 - PENDIENTE</v>
          </cell>
          <cell r="AP6134">
            <v>1300366012</v>
          </cell>
        </row>
        <row r="6135">
          <cell r="AE6135" t="str">
            <v>05 - ANULADA EN VIGENCIA</v>
          </cell>
          <cell r="AP6135">
            <v>544931</v>
          </cell>
        </row>
        <row r="6136">
          <cell r="AE6136" t="str">
            <v>01 - RENOVADA</v>
          </cell>
          <cell r="AP6136">
            <v>70210320</v>
          </cell>
        </row>
        <row r="6137">
          <cell r="AE6137" t="str">
            <v>05 - ANULADA EN VIGENCIA</v>
          </cell>
          <cell r="AP6137">
            <v>2009561926</v>
          </cell>
        </row>
        <row r="6138">
          <cell r="AE6138" t="str">
            <v>01 - RENOVADA</v>
          </cell>
          <cell r="AP6138">
            <v>70208890</v>
          </cell>
        </row>
        <row r="6139">
          <cell r="AE6139" t="str">
            <v>04 - NO RENOVADA</v>
          </cell>
          <cell r="AP6139">
            <v>101257</v>
          </cell>
        </row>
        <row r="6140">
          <cell r="AE6140" t="str">
            <v>02 - EN PROCESO</v>
          </cell>
          <cell r="AP6140">
            <v>111262</v>
          </cell>
        </row>
        <row r="6141">
          <cell r="AE6141" t="str">
            <v>03 - PENDIENTE</v>
          </cell>
          <cell r="AP6141">
            <v>603561133</v>
          </cell>
        </row>
        <row r="6142">
          <cell r="AE6142" t="str">
            <v>01 - RENOVADA</v>
          </cell>
          <cell r="AP6142">
            <v>101860</v>
          </cell>
        </row>
        <row r="6143">
          <cell r="AE6143" t="str">
            <v>01 - RENOVADA</v>
          </cell>
          <cell r="AP6143">
            <v>70206680</v>
          </cell>
        </row>
        <row r="6144">
          <cell r="AE6144" t="str">
            <v>03 - PENDIENTE</v>
          </cell>
          <cell r="AP6144">
            <v>340092310</v>
          </cell>
        </row>
        <row r="6145">
          <cell r="AE6145" t="str">
            <v>01 - RENOVADA</v>
          </cell>
          <cell r="AP6145">
            <v>230265509</v>
          </cell>
        </row>
        <row r="6146">
          <cell r="AE6146" t="str">
            <v>01 - RENOVADA</v>
          </cell>
          <cell r="AP6146">
            <v>17790826</v>
          </cell>
        </row>
        <row r="6147">
          <cell r="AE6147" t="str">
            <v>03 - PENDIENTE</v>
          </cell>
          <cell r="AP6147">
            <v>19722383</v>
          </cell>
        </row>
        <row r="6148">
          <cell r="AE6148" t="str">
            <v>01 - RENOVADA</v>
          </cell>
          <cell r="AP6148">
            <v>116444</v>
          </cell>
        </row>
        <row r="6149">
          <cell r="AE6149" t="str">
            <v>01 - RENOVADA</v>
          </cell>
          <cell r="AP6149">
            <v>17297780</v>
          </cell>
        </row>
        <row r="6150">
          <cell r="AE6150" t="str">
            <v>01 - RENOVADA</v>
          </cell>
          <cell r="AP6150">
            <v>2402510106067</v>
          </cell>
        </row>
        <row r="6151">
          <cell r="AE6151" t="str">
            <v>01 - RENOVADA</v>
          </cell>
          <cell r="AP6151">
            <v>2202510100927</v>
          </cell>
        </row>
        <row r="6152">
          <cell r="AE6152" t="str">
            <v>04 - NO RENOVADA</v>
          </cell>
          <cell r="AP6152">
            <v>17212609</v>
          </cell>
        </row>
        <row r="6153">
          <cell r="AE6153" t="str">
            <v>04 - NO RENOVADA</v>
          </cell>
          <cell r="AP6153">
            <v>117695</v>
          </cell>
        </row>
        <row r="6154">
          <cell r="AE6154" t="str">
            <v>04 - NO RENOVADA</v>
          </cell>
          <cell r="AP6154">
            <v>646814</v>
          </cell>
        </row>
        <row r="6155">
          <cell r="AE6155" t="str">
            <v>04 - NO RENOVADA</v>
          </cell>
          <cell r="AP6155">
            <v>1000186564</v>
          </cell>
        </row>
        <row r="6156">
          <cell r="AE6156" t="str">
            <v>03 - PENDIENTE</v>
          </cell>
          <cell r="AP6156">
            <v>127032</v>
          </cell>
        </row>
        <row r="6157">
          <cell r="AE6157" t="str">
            <v>03 - PENDIENTE</v>
          </cell>
          <cell r="AP6157">
            <v>62100055</v>
          </cell>
        </row>
        <row r="6158">
          <cell r="AE6158" t="str">
            <v>03 - PENDIENTE</v>
          </cell>
          <cell r="AP6158">
            <v>1128383</v>
          </cell>
        </row>
        <row r="6159">
          <cell r="AE6159" t="str">
            <v>04 - NO RENOVADA</v>
          </cell>
          <cell r="AP6159">
            <v>20495669</v>
          </cell>
        </row>
        <row r="6160">
          <cell r="AE6160" t="str">
            <v>03 - PENDIENTE</v>
          </cell>
          <cell r="AP6160">
            <v>17564298</v>
          </cell>
        </row>
        <row r="6161">
          <cell r="AE6161" t="str">
            <v>01 - RENOVADA</v>
          </cell>
          <cell r="AP6161">
            <v>604614948</v>
          </cell>
        </row>
        <row r="6162">
          <cell r="AE6162" t="str">
            <v>03 - PENDIENTE</v>
          </cell>
          <cell r="AP6162" t="str">
            <v>P0283307</v>
          </cell>
        </row>
        <row r="6163">
          <cell r="AE6163" t="str">
            <v>03 - PENDIENTE</v>
          </cell>
          <cell r="AP6163" t="str">
            <v>S0344240</v>
          </cell>
        </row>
        <row r="6164">
          <cell r="AE6164" t="str">
            <v>01 - RENOVADA</v>
          </cell>
          <cell r="AP6164">
            <v>605841</v>
          </cell>
        </row>
        <row r="6165">
          <cell r="AE6165" t="str">
            <v>01 - RENOVADA</v>
          </cell>
          <cell r="AP6165">
            <v>130945</v>
          </cell>
        </row>
        <row r="6166">
          <cell r="AE6166" t="str">
            <v>01 - RENOVADA</v>
          </cell>
          <cell r="AP6166">
            <v>75617</v>
          </cell>
        </row>
        <row r="6167">
          <cell r="AE6167" t="str">
            <v>05 - ANULADA EN VIGENCIA</v>
          </cell>
          <cell r="AP6167">
            <v>2010666126</v>
          </cell>
        </row>
        <row r="6168">
          <cell r="AE6168" t="str">
            <v>01 - RENOVADA</v>
          </cell>
          <cell r="AP6168">
            <v>127852</v>
          </cell>
        </row>
        <row r="6169">
          <cell r="AE6169" t="str">
            <v>01 - RENOVADA</v>
          </cell>
          <cell r="AP6169">
            <v>6208312</v>
          </cell>
        </row>
        <row r="6170">
          <cell r="AE6170" t="str">
            <v>03 - PENDIENTE</v>
          </cell>
          <cell r="AP6170">
            <v>113548</v>
          </cell>
        </row>
        <row r="6171">
          <cell r="AE6171" t="str">
            <v>05 - ANULADA EN VIGENCIA</v>
          </cell>
          <cell r="AP6171">
            <v>17499540</v>
          </cell>
        </row>
        <row r="6172">
          <cell r="AE6172" t="str">
            <v>04 - NO RENOVADA</v>
          </cell>
          <cell r="AP6172">
            <v>17499535</v>
          </cell>
        </row>
        <row r="6173">
          <cell r="AE6173" t="str">
            <v>01 - RENOVADA</v>
          </cell>
          <cell r="AP6173">
            <v>20196465</v>
          </cell>
        </row>
        <row r="6174">
          <cell r="AE6174" t="str">
            <v>04 - NO RENOVADA</v>
          </cell>
          <cell r="AP6174">
            <v>17805099</v>
          </cell>
        </row>
        <row r="6175">
          <cell r="AE6175" t="str">
            <v>04 - NO RENOVADA</v>
          </cell>
          <cell r="AP6175">
            <v>17920819</v>
          </cell>
        </row>
        <row r="6176">
          <cell r="AE6176" t="str">
            <v>03 - PENDIENTE</v>
          </cell>
          <cell r="AP6176">
            <v>112079</v>
          </cell>
        </row>
        <row r="6177">
          <cell r="AE6177" t="str">
            <v>03 - PENDIENTE</v>
          </cell>
          <cell r="AP6177">
            <v>20970087</v>
          </cell>
        </row>
        <row r="6178">
          <cell r="AE6178" t="str">
            <v>04 - NO RENOVADA</v>
          </cell>
          <cell r="AP6178">
            <v>18608506</v>
          </cell>
        </row>
        <row r="6179">
          <cell r="AE6179" t="str">
            <v>04 - NO RENOVADA</v>
          </cell>
          <cell r="AP6179">
            <v>19229562</v>
          </cell>
        </row>
        <row r="6180">
          <cell r="AE6180" t="str">
            <v>03 - PENDIENTE</v>
          </cell>
          <cell r="AP6180">
            <v>1300638170</v>
          </cell>
        </row>
        <row r="6181">
          <cell r="AE6181" t="str">
            <v>01 - RENOVADA</v>
          </cell>
          <cell r="AP6181">
            <v>69976</v>
          </cell>
        </row>
        <row r="6182">
          <cell r="AE6182" t="str">
            <v>03 - PENDIENTE</v>
          </cell>
          <cell r="AP6182">
            <v>123064</v>
          </cell>
        </row>
        <row r="6183">
          <cell r="AE6183" t="str">
            <v>03 - PENDIENTE</v>
          </cell>
          <cell r="AP6183">
            <v>62095596</v>
          </cell>
        </row>
        <row r="6184">
          <cell r="AE6184" t="str">
            <v>03 - PENDIENTE</v>
          </cell>
          <cell r="AP6184">
            <v>115889</v>
          </cell>
        </row>
        <row r="6185">
          <cell r="AE6185" t="str">
            <v>01 - RENOVADA</v>
          </cell>
          <cell r="AP6185" t="str">
            <v>E0034025</v>
          </cell>
        </row>
        <row r="6186">
          <cell r="AE6186" t="str">
            <v>03 - PENDIENTE</v>
          </cell>
          <cell r="AP6186">
            <v>48599</v>
          </cell>
        </row>
        <row r="6187">
          <cell r="AE6187" t="str">
            <v>04 - NO RENOVADA</v>
          </cell>
          <cell r="AP6187">
            <v>5109597242</v>
          </cell>
        </row>
        <row r="6188">
          <cell r="AE6188" t="str">
            <v>05 - ANULADA EN VIGENCIA</v>
          </cell>
          <cell r="AP6188">
            <v>17845252</v>
          </cell>
        </row>
        <row r="6189">
          <cell r="AE6189" t="str">
            <v>04 - NO RENOVADA</v>
          </cell>
          <cell r="AP6189">
            <v>18005574</v>
          </cell>
        </row>
        <row r="6190">
          <cell r="AE6190" t="str">
            <v>03 - PENDIENTE</v>
          </cell>
          <cell r="AP6190">
            <v>131852</v>
          </cell>
        </row>
        <row r="6191">
          <cell r="AE6191" t="str">
            <v>05 - ANULADA EN VIGENCIA</v>
          </cell>
          <cell r="AP6191">
            <v>1000207081</v>
          </cell>
        </row>
        <row r="6192">
          <cell r="AE6192" t="str">
            <v>05 - ANULADA EN VIGENCIA</v>
          </cell>
          <cell r="AP6192">
            <v>698801</v>
          </cell>
        </row>
        <row r="6193">
          <cell r="AE6193" t="str">
            <v>03 - PENDIENTE</v>
          </cell>
          <cell r="AP6193" t="str">
            <v>P0333245</v>
          </cell>
        </row>
        <row r="6194">
          <cell r="AE6194" t="str">
            <v>03 - PENDIENTE</v>
          </cell>
          <cell r="AP6194">
            <v>1300614495</v>
          </cell>
        </row>
        <row r="6195">
          <cell r="AE6195" t="str">
            <v>03 - PENDIENTE</v>
          </cell>
          <cell r="AP6195" t="str">
            <v>S0421521</v>
          </cell>
        </row>
        <row r="6196">
          <cell r="AE6196" t="str">
            <v>04 - NO RENOVADA</v>
          </cell>
          <cell r="AP6196">
            <v>1300231428</v>
          </cell>
        </row>
        <row r="6197">
          <cell r="AE6197" t="str">
            <v>04 - NO RENOVADA</v>
          </cell>
          <cell r="AP6197" t="str">
            <v>P0296148</v>
          </cell>
        </row>
        <row r="6198">
          <cell r="AE6198" t="str">
            <v>04 - NO RENOVADA</v>
          </cell>
          <cell r="AP6198" t="str">
            <v>S0364616</v>
          </cell>
        </row>
        <row r="6199">
          <cell r="AE6199" t="str">
            <v>04 - NO RENOVADA</v>
          </cell>
          <cell r="AP6199">
            <v>19688815</v>
          </cell>
        </row>
        <row r="6200">
          <cell r="AE6200" t="str">
            <v>04 - NO RENOVADA</v>
          </cell>
          <cell r="AP6200">
            <v>2402410105386</v>
          </cell>
        </row>
        <row r="6201">
          <cell r="AE6201" t="str">
            <v>03 - PENDIENTE</v>
          </cell>
          <cell r="AP6201">
            <v>913346</v>
          </cell>
        </row>
        <row r="6202">
          <cell r="AE6202" t="str">
            <v>03 - PENDIENTE</v>
          </cell>
          <cell r="AP6202">
            <v>1000291460</v>
          </cell>
        </row>
        <row r="6203">
          <cell r="AE6203" t="str">
            <v>03 - PENDIENTE</v>
          </cell>
          <cell r="AP6203">
            <v>131430</v>
          </cell>
        </row>
        <row r="6204">
          <cell r="AE6204" t="str">
            <v>03 - PENDIENTE</v>
          </cell>
          <cell r="AP6204">
            <v>1000293517</v>
          </cell>
        </row>
        <row r="6205">
          <cell r="AE6205" t="str">
            <v>03 - PENDIENTE</v>
          </cell>
          <cell r="AP6205">
            <v>918440</v>
          </cell>
        </row>
        <row r="6206">
          <cell r="AE6206" t="str">
            <v>01 - RENOVADA</v>
          </cell>
          <cell r="AP6206">
            <v>171766</v>
          </cell>
        </row>
        <row r="6207">
          <cell r="AE6207" t="str">
            <v>01 - RENOVADA</v>
          </cell>
          <cell r="AP6207">
            <v>70229392</v>
          </cell>
        </row>
        <row r="6208">
          <cell r="AE6208" t="str">
            <v>01 - RENOVADA</v>
          </cell>
          <cell r="AP6208">
            <v>1300615764</v>
          </cell>
        </row>
        <row r="6209">
          <cell r="AE6209" t="str">
            <v>01 - RENOVADA</v>
          </cell>
          <cell r="AP6209">
            <v>553711</v>
          </cell>
        </row>
        <row r="6210">
          <cell r="AE6210" t="str">
            <v>01 - RENOVADA</v>
          </cell>
          <cell r="AP6210">
            <v>70234814</v>
          </cell>
        </row>
        <row r="6211">
          <cell r="AE6211" t="str">
            <v>03 - PENDIENTE</v>
          </cell>
          <cell r="AP6211" t="str">
            <v>P0333917</v>
          </cell>
        </row>
        <row r="6212">
          <cell r="AE6212" t="str">
            <v>03 - PENDIENTE</v>
          </cell>
          <cell r="AP6212" t="str">
            <v>S0422505</v>
          </cell>
        </row>
        <row r="6213">
          <cell r="AE6213" t="str">
            <v>01 - RENOVADA</v>
          </cell>
          <cell r="AP6213">
            <v>3022500226212</v>
          </cell>
        </row>
        <row r="6214">
          <cell r="AE6214" t="str">
            <v>01 - RENOVADA</v>
          </cell>
          <cell r="AP6214">
            <v>171765</v>
          </cell>
        </row>
        <row r="6215">
          <cell r="AE6215" t="str">
            <v>03 - PENDIENTE</v>
          </cell>
          <cell r="AP6215">
            <v>20127096</v>
          </cell>
        </row>
        <row r="6216">
          <cell r="AE6216" t="str">
            <v>03 - PENDIENTE</v>
          </cell>
          <cell r="AP6216">
            <v>20127098</v>
          </cell>
        </row>
        <row r="6217">
          <cell r="AE6217" t="str">
            <v>03 - PENDIENTE</v>
          </cell>
          <cell r="AP6217">
            <v>20127100</v>
          </cell>
        </row>
        <row r="6218">
          <cell r="AE6218" t="str">
            <v>01 - RENOVADA</v>
          </cell>
          <cell r="AP6218">
            <v>70238533</v>
          </cell>
        </row>
        <row r="6219">
          <cell r="AE6219" t="str">
            <v>03 - PENDIENTE</v>
          </cell>
          <cell r="AP6219">
            <v>123762</v>
          </cell>
        </row>
        <row r="6220">
          <cell r="AE6220" t="str">
            <v>03 - PENDIENTE</v>
          </cell>
          <cell r="AP6220" t="str">
            <v>E0036314</v>
          </cell>
        </row>
        <row r="6221">
          <cell r="AE6221" t="str">
            <v>03 - PENDIENTE</v>
          </cell>
          <cell r="AP6221">
            <v>124620</v>
          </cell>
        </row>
        <row r="6222">
          <cell r="AE6222" t="str">
            <v>01 - RENOVADA</v>
          </cell>
          <cell r="AP6222">
            <v>230272251</v>
          </cell>
        </row>
        <row r="6223">
          <cell r="AE6223" t="str">
            <v>01 - RENOVADA</v>
          </cell>
          <cell r="AP6223">
            <v>1514977</v>
          </cell>
        </row>
        <row r="6224">
          <cell r="AE6224" t="str">
            <v>01 - RENOVADA</v>
          </cell>
          <cell r="AP6224">
            <v>605484278</v>
          </cell>
        </row>
        <row r="6225">
          <cell r="AE6225" t="str">
            <v>01 - RENOVADA</v>
          </cell>
          <cell r="AP6225">
            <v>21116798</v>
          </cell>
        </row>
        <row r="6226">
          <cell r="AE6226" t="str">
            <v>01 - RENOVADA</v>
          </cell>
          <cell r="AP6226">
            <v>1528045</v>
          </cell>
        </row>
        <row r="6227">
          <cell r="AE6227" t="str">
            <v>03 - PENDIENTE</v>
          </cell>
          <cell r="AP6227">
            <v>844950</v>
          </cell>
        </row>
        <row r="6228">
          <cell r="AE6228" t="str">
            <v>01 - RENOVADA</v>
          </cell>
          <cell r="AP6228">
            <v>1000281535</v>
          </cell>
        </row>
        <row r="6229">
          <cell r="AE6229" t="str">
            <v>03 - PENDIENTE</v>
          </cell>
          <cell r="AP6229">
            <v>887616</v>
          </cell>
        </row>
        <row r="6230">
          <cell r="AE6230" t="str">
            <v>01 - RENOVADA</v>
          </cell>
          <cell r="AP6230">
            <v>130837</v>
          </cell>
        </row>
        <row r="6231">
          <cell r="AE6231" t="str">
            <v>01 - RENOVADA</v>
          </cell>
          <cell r="AP6231">
            <v>130865</v>
          </cell>
        </row>
        <row r="6232">
          <cell r="AE6232" t="str">
            <v>01 - RENOVADA</v>
          </cell>
          <cell r="AP6232">
            <v>130869</v>
          </cell>
        </row>
        <row r="6233">
          <cell r="AE6233" t="str">
            <v>03 - PENDIENTE</v>
          </cell>
          <cell r="AP6233">
            <v>1300638450</v>
          </cell>
        </row>
        <row r="6234">
          <cell r="AE6234" t="str">
            <v>03 - PENDIENTE</v>
          </cell>
          <cell r="AP6234">
            <v>54605</v>
          </cell>
        </row>
        <row r="6235">
          <cell r="AE6235" t="str">
            <v>01 - RENOVADA</v>
          </cell>
          <cell r="AP6235">
            <v>1451699</v>
          </cell>
        </row>
        <row r="6236">
          <cell r="AE6236" t="str">
            <v>05 - ANULADA EN VIGENCIA</v>
          </cell>
          <cell r="AP6236">
            <v>528907</v>
          </cell>
        </row>
        <row r="6237">
          <cell r="AE6237" t="str">
            <v>05 - ANULADA EN VIGENCIA</v>
          </cell>
          <cell r="AP6237">
            <v>2006975115</v>
          </cell>
        </row>
        <row r="6238">
          <cell r="AE6238" t="str">
            <v>04 - NO RENOVADA</v>
          </cell>
          <cell r="AP6238">
            <v>7003063</v>
          </cell>
        </row>
        <row r="6239">
          <cell r="AE6239" t="str">
            <v>03 - PENDIENTE</v>
          </cell>
          <cell r="AP6239">
            <v>230246228</v>
          </cell>
        </row>
        <row r="6240">
          <cell r="AE6240" t="str">
            <v>03 - PENDIENTE</v>
          </cell>
          <cell r="AP6240">
            <v>70240448</v>
          </cell>
        </row>
        <row r="6241">
          <cell r="AE6241" t="str">
            <v>03 - PENDIENTE</v>
          </cell>
          <cell r="AP6241">
            <v>70241005</v>
          </cell>
        </row>
        <row r="6242">
          <cell r="AE6242" t="str">
            <v>03 - PENDIENTE</v>
          </cell>
          <cell r="AP6242">
            <v>2011439997</v>
          </cell>
        </row>
        <row r="6243">
          <cell r="AE6243" t="str">
            <v>03 - PENDIENTE</v>
          </cell>
          <cell r="AP6243">
            <v>877147</v>
          </cell>
        </row>
        <row r="6244">
          <cell r="AE6244" t="str">
            <v>03 - PENDIENTE</v>
          </cell>
          <cell r="AP6244">
            <v>2011614455</v>
          </cell>
        </row>
        <row r="6245">
          <cell r="AE6245" t="str">
            <v>03 - PENDIENTE</v>
          </cell>
          <cell r="AP6245">
            <v>2011475018</v>
          </cell>
        </row>
        <row r="6246">
          <cell r="AE6246" t="str">
            <v>03 - PENDIENTE</v>
          </cell>
          <cell r="AP6246">
            <v>1496943</v>
          </cell>
        </row>
        <row r="6247">
          <cell r="AE6247" t="str">
            <v>03 - PENDIENTE</v>
          </cell>
          <cell r="AP6247">
            <v>9569497</v>
          </cell>
        </row>
        <row r="6248">
          <cell r="AE6248" t="str">
            <v>03 - PENDIENTE</v>
          </cell>
          <cell r="AP6248">
            <v>70243235</v>
          </cell>
        </row>
        <row r="6249">
          <cell r="AE6249" t="str">
            <v>03 - PENDIENTE</v>
          </cell>
          <cell r="AP6249">
            <v>20598255</v>
          </cell>
        </row>
        <row r="6250">
          <cell r="AE6250" t="str">
            <v>03 - PENDIENTE</v>
          </cell>
          <cell r="AP6250">
            <v>12119</v>
          </cell>
        </row>
        <row r="6251">
          <cell r="AE6251" t="str">
            <v>03 - PENDIENTE</v>
          </cell>
          <cell r="AP6251">
            <v>12206</v>
          </cell>
        </row>
        <row r="6252">
          <cell r="AE6252" t="str">
            <v>03 - PENDIENTE</v>
          </cell>
          <cell r="AP6252">
            <v>74518</v>
          </cell>
        </row>
        <row r="6253">
          <cell r="AE6253" t="str">
            <v>03 - PENDIENTE</v>
          </cell>
          <cell r="AP6253" t="str">
            <v>TE-000604-0</v>
          </cell>
        </row>
        <row r="6254">
          <cell r="AE6254" t="str">
            <v>03 - PENDIENTE</v>
          </cell>
          <cell r="AP6254">
            <v>74959</v>
          </cell>
        </row>
        <row r="6255">
          <cell r="AE6255" t="str">
            <v>03 - PENDIENTE</v>
          </cell>
          <cell r="AP6255">
            <v>70214845</v>
          </cell>
        </row>
        <row r="6256">
          <cell r="AE6256" t="str">
            <v>03 - PENDIENTE</v>
          </cell>
          <cell r="AP6256">
            <v>70227873</v>
          </cell>
        </row>
        <row r="6257">
          <cell r="AE6257" t="str">
            <v>03 - PENDIENTE</v>
          </cell>
          <cell r="AP6257">
            <v>70226467</v>
          </cell>
        </row>
        <row r="6258">
          <cell r="AE6258" t="str">
            <v>03 - PENDIENTE</v>
          </cell>
          <cell r="AP6258">
            <v>9513637</v>
          </cell>
        </row>
        <row r="6259">
          <cell r="AE6259" t="str">
            <v>03 - PENDIENTE</v>
          </cell>
          <cell r="AP6259">
            <v>2011508984</v>
          </cell>
        </row>
        <row r="6260">
          <cell r="AE6260" t="str">
            <v>03 - PENDIENTE</v>
          </cell>
          <cell r="AP6260">
            <v>9584867</v>
          </cell>
        </row>
        <row r="6261">
          <cell r="AE6261" t="str">
            <v>03 - PENDIENTE</v>
          </cell>
          <cell r="AP6261">
            <v>10010150</v>
          </cell>
        </row>
        <row r="6262">
          <cell r="AE6262" t="str">
            <v>03 - PENDIENTE</v>
          </cell>
          <cell r="AP6262" t="str">
            <v>TE-000137-0</v>
          </cell>
        </row>
        <row r="6263">
          <cell r="AE6263" t="str">
            <v>03 - PENDIENTE</v>
          </cell>
          <cell r="AP6263">
            <v>70234289</v>
          </cell>
        </row>
        <row r="6264">
          <cell r="AE6264" t="str">
            <v>03 - PENDIENTE</v>
          </cell>
          <cell r="AP6264">
            <v>1526048</v>
          </cell>
        </row>
        <row r="6265">
          <cell r="AE6265" t="str">
            <v>03 - PENDIENTE</v>
          </cell>
          <cell r="AP6265">
            <v>1529092</v>
          </cell>
        </row>
        <row r="6266">
          <cell r="AE6266" t="str">
            <v>03 - PENDIENTE</v>
          </cell>
          <cell r="AP6266">
            <v>1509956</v>
          </cell>
        </row>
        <row r="6267">
          <cell r="AE6267" t="str">
            <v>03 - PENDIENTE</v>
          </cell>
          <cell r="AP6267">
            <v>5109802593</v>
          </cell>
        </row>
        <row r="6268">
          <cell r="AE6268" t="str">
            <v>03 - PENDIENTE</v>
          </cell>
          <cell r="AP6268">
            <v>2011420462</v>
          </cell>
        </row>
        <row r="6269">
          <cell r="AE6269" t="str">
            <v>03 - PENDIENTE</v>
          </cell>
          <cell r="AP6269">
            <v>70220645</v>
          </cell>
        </row>
        <row r="6270">
          <cell r="AE6270" t="str">
            <v>03 - PENDIENTE</v>
          </cell>
          <cell r="AP6270">
            <v>2011920896</v>
          </cell>
        </row>
        <row r="6271">
          <cell r="AE6271" t="str">
            <v>03 - PENDIENTE</v>
          </cell>
          <cell r="AP6271">
            <v>2009697932</v>
          </cell>
        </row>
        <row r="6272">
          <cell r="AE6272" t="str">
            <v>03 - PENDIENTE</v>
          </cell>
          <cell r="AP6272">
            <v>1509899</v>
          </cell>
        </row>
        <row r="6273">
          <cell r="AE6273" t="str">
            <v>03 - PENDIENTE</v>
          </cell>
          <cell r="AP6273">
            <v>9629886</v>
          </cell>
        </row>
        <row r="6274">
          <cell r="AE6274" t="str">
            <v>03 - PENDIENTE</v>
          </cell>
          <cell r="AP6274">
            <v>2011674751</v>
          </cell>
        </row>
        <row r="6275">
          <cell r="AE6275" t="str">
            <v>03 - PENDIENTE</v>
          </cell>
          <cell r="AP6275">
            <v>2011712648</v>
          </cell>
        </row>
        <row r="6276">
          <cell r="AE6276" t="str">
            <v>03 - PENDIENTE</v>
          </cell>
          <cell r="AP6276">
            <v>70233410</v>
          </cell>
        </row>
        <row r="6277">
          <cell r="AE6277" t="str">
            <v>03 - PENDIENTE</v>
          </cell>
          <cell r="AP6277">
            <v>532324</v>
          </cell>
        </row>
        <row r="6278">
          <cell r="AE6278" t="str">
            <v>03 - PENDIENTE</v>
          </cell>
          <cell r="AP6278">
            <v>532351</v>
          </cell>
        </row>
        <row r="6279">
          <cell r="AE6279" t="str">
            <v>03 - PENDIENTE</v>
          </cell>
          <cell r="AP6279">
            <v>1505738</v>
          </cell>
        </row>
        <row r="6280">
          <cell r="AE6280" t="str">
            <v>03 - PENDIENTE</v>
          </cell>
          <cell r="AP6280">
            <v>101045</v>
          </cell>
        </row>
        <row r="6281">
          <cell r="AE6281" t="str">
            <v>03 - PENDIENTE</v>
          </cell>
          <cell r="AP6281">
            <v>2011667335</v>
          </cell>
        </row>
        <row r="6282">
          <cell r="AE6282" t="str">
            <v>03 - PENDIENTE</v>
          </cell>
          <cell r="AP6282">
            <v>102050</v>
          </cell>
        </row>
        <row r="6283">
          <cell r="AE6283" t="str">
            <v>03 - PENDIENTE</v>
          </cell>
          <cell r="AP6283">
            <v>1202510100599</v>
          </cell>
        </row>
        <row r="6284">
          <cell r="AE6284" t="str">
            <v>03 - PENDIENTE</v>
          </cell>
          <cell r="AP6284">
            <v>9490154</v>
          </cell>
        </row>
        <row r="6285">
          <cell r="AE6285" t="str">
            <v>03 - PENDIENTE</v>
          </cell>
          <cell r="AP6285">
            <v>1490632</v>
          </cell>
        </row>
        <row r="6286">
          <cell r="AE6286" t="str">
            <v>03 - PENDIENTE</v>
          </cell>
          <cell r="AP6286">
            <v>9552413</v>
          </cell>
        </row>
        <row r="6287">
          <cell r="AE6287" t="str">
            <v>03 - PENDIENTE</v>
          </cell>
          <cell r="AP6287">
            <v>70216028</v>
          </cell>
        </row>
        <row r="6288">
          <cell r="AE6288" t="str">
            <v>03 - PENDIENTE</v>
          </cell>
          <cell r="AP6288">
            <v>1512809</v>
          </cell>
        </row>
        <row r="6289">
          <cell r="AE6289" t="str">
            <v>03 - PENDIENTE</v>
          </cell>
          <cell r="AP6289">
            <v>70243945</v>
          </cell>
        </row>
        <row r="6290">
          <cell r="AE6290" t="str">
            <v>03 - PENDIENTE</v>
          </cell>
          <cell r="AP6290">
            <v>2011932128</v>
          </cell>
        </row>
        <row r="6291">
          <cell r="AE6291" t="str">
            <v>03 - PENDIENTE</v>
          </cell>
          <cell r="AP6291">
            <v>15584</v>
          </cell>
        </row>
        <row r="6292">
          <cell r="AE6292" t="str">
            <v>03 - PENDIENTE</v>
          </cell>
          <cell r="AP6292">
            <v>1516119</v>
          </cell>
        </row>
        <row r="6293">
          <cell r="AE6293" t="str">
            <v>03 - PENDIENTE</v>
          </cell>
          <cell r="AP6293">
            <v>1412551</v>
          </cell>
        </row>
        <row r="6294">
          <cell r="AE6294" t="str">
            <v>03 - PENDIENTE</v>
          </cell>
          <cell r="AP6294">
            <v>1238250</v>
          </cell>
        </row>
        <row r="6295">
          <cell r="AE6295" t="str">
            <v>03 - PENDIENTE</v>
          </cell>
          <cell r="AP6295">
            <v>44349</v>
          </cell>
        </row>
        <row r="6296">
          <cell r="AE6296" t="str">
            <v>03 - PENDIENTE</v>
          </cell>
          <cell r="AP6296">
            <v>2011508592</v>
          </cell>
        </row>
        <row r="6297">
          <cell r="AE6297" t="str">
            <v>03 - PENDIENTE</v>
          </cell>
          <cell r="AP6297">
            <v>5109779564</v>
          </cell>
        </row>
        <row r="6298">
          <cell r="AE6298" t="str">
            <v>03 - PENDIENTE</v>
          </cell>
          <cell r="AP6298">
            <v>2011359328</v>
          </cell>
        </row>
        <row r="6299">
          <cell r="AE6299" t="str">
            <v>05 - ANULADA EN VIGENCIA</v>
          </cell>
          <cell r="AP6299">
            <v>2011112677</v>
          </cell>
        </row>
        <row r="6300">
          <cell r="AE6300" t="str">
            <v>05 - ANULADA EN VIGENCIA</v>
          </cell>
          <cell r="AP6300">
            <v>2011172314</v>
          </cell>
        </row>
        <row r="6301">
          <cell r="AE6301" t="str">
            <v>03 - PENDIENTE</v>
          </cell>
          <cell r="AP6301">
            <v>1491646</v>
          </cell>
        </row>
        <row r="6302">
          <cell r="AE6302" t="str">
            <v>03 - PENDIENTE</v>
          </cell>
          <cell r="AP6302">
            <v>2011952535</v>
          </cell>
        </row>
        <row r="6303">
          <cell r="AE6303" t="str">
            <v>03 - PENDIENTE</v>
          </cell>
          <cell r="AP6303">
            <v>59171</v>
          </cell>
        </row>
        <row r="6304">
          <cell r="AE6304" t="str">
            <v>03 - PENDIENTE</v>
          </cell>
          <cell r="AP6304">
            <v>51350</v>
          </cell>
        </row>
        <row r="6305">
          <cell r="AE6305" t="str">
            <v>03 - PENDIENTE</v>
          </cell>
          <cell r="AP6305">
            <v>20110530</v>
          </cell>
        </row>
        <row r="6306">
          <cell r="AE6306" t="str">
            <v>03 - PENDIENTE</v>
          </cell>
          <cell r="AP6306">
            <v>70228204</v>
          </cell>
        </row>
        <row r="6307">
          <cell r="AE6307" t="str">
            <v>03 - PENDIENTE</v>
          </cell>
          <cell r="AP6307">
            <v>1516120</v>
          </cell>
        </row>
        <row r="6308">
          <cell r="AE6308" t="str">
            <v>03 - PENDIENTE</v>
          </cell>
          <cell r="AP6308" t="str">
            <v>TE-000153-0</v>
          </cell>
        </row>
        <row r="6309">
          <cell r="AE6309" t="str">
            <v>03 - PENDIENTE</v>
          </cell>
          <cell r="AP6309">
            <v>2011928434</v>
          </cell>
        </row>
        <row r="6310">
          <cell r="AE6310" t="str">
            <v>03 - PENDIENTE</v>
          </cell>
          <cell r="AP6310">
            <v>2011929056</v>
          </cell>
        </row>
        <row r="6311">
          <cell r="AE6311" t="str">
            <v>03 - PENDIENTE</v>
          </cell>
          <cell r="AP6311">
            <v>660000283</v>
          </cell>
        </row>
        <row r="6312">
          <cell r="AE6312" t="str">
            <v>03 - PENDIENTE</v>
          </cell>
          <cell r="AP6312">
            <v>9456176</v>
          </cell>
        </row>
        <row r="6313">
          <cell r="AE6313" t="str">
            <v>03 - PENDIENTE</v>
          </cell>
          <cell r="AP6313">
            <v>2011662959</v>
          </cell>
        </row>
        <row r="6314">
          <cell r="AE6314" t="str">
            <v>03 - PENDIENTE</v>
          </cell>
          <cell r="AP6314">
            <v>1532665</v>
          </cell>
        </row>
        <row r="6315">
          <cell r="AE6315" t="str">
            <v>03 - PENDIENTE</v>
          </cell>
          <cell r="AP6315">
            <v>70206469</v>
          </cell>
        </row>
        <row r="6316">
          <cell r="AE6316" t="str">
            <v>03 - PENDIENTE</v>
          </cell>
          <cell r="AP6316">
            <v>70211296</v>
          </cell>
        </row>
        <row r="6317">
          <cell r="AE6317" t="str">
            <v>03 - PENDIENTE</v>
          </cell>
          <cell r="AP6317">
            <v>1510672</v>
          </cell>
        </row>
        <row r="6318">
          <cell r="AE6318" t="str">
            <v>03 - PENDIENTE</v>
          </cell>
          <cell r="AP6318">
            <v>2011515316</v>
          </cell>
        </row>
        <row r="6319">
          <cell r="AE6319" t="str">
            <v>03 - PENDIENTE</v>
          </cell>
          <cell r="AP6319">
            <v>2011515257</v>
          </cell>
        </row>
        <row r="6320">
          <cell r="AE6320" t="str">
            <v>03 - PENDIENTE</v>
          </cell>
          <cell r="AP6320">
            <v>2011280508</v>
          </cell>
        </row>
        <row r="6321">
          <cell r="AE6321" t="str">
            <v>03 - PENDIENTE</v>
          </cell>
          <cell r="AP6321">
            <v>2011104245</v>
          </cell>
        </row>
        <row r="6322">
          <cell r="AE6322" t="str">
            <v>03 - PENDIENTE</v>
          </cell>
          <cell r="AP6322">
            <v>48893</v>
          </cell>
        </row>
        <row r="6323">
          <cell r="AE6323" t="str">
            <v>03 - PENDIENTE</v>
          </cell>
          <cell r="AP6323">
            <v>501082</v>
          </cell>
        </row>
        <row r="6324">
          <cell r="AE6324" t="str">
            <v>03 - PENDIENTE</v>
          </cell>
          <cell r="AP6324">
            <v>70218826</v>
          </cell>
        </row>
        <row r="6325">
          <cell r="AE6325" t="str">
            <v>03 - PENDIENTE</v>
          </cell>
          <cell r="AP6325">
            <v>1162510100979</v>
          </cell>
        </row>
        <row r="6326">
          <cell r="AE6326" t="str">
            <v>03 - PENDIENTE</v>
          </cell>
          <cell r="AP6326">
            <v>2011906186</v>
          </cell>
        </row>
        <row r="6327">
          <cell r="AE6327" t="str">
            <v>03 - PENDIENTE</v>
          </cell>
          <cell r="AP6327">
            <v>2011148648</v>
          </cell>
        </row>
        <row r="6328">
          <cell r="AE6328" t="str">
            <v>03 - PENDIENTE</v>
          </cell>
          <cell r="AP6328">
            <v>2011916350</v>
          </cell>
        </row>
        <row r="6329">
          <cell r="AE6329" t="str">
            <v>03 - PENDIENTE</v>
          </cell>
          <cell r="AP6329">
            <v>496339</v>
          </cell>
        </row>
        <row r="6330">
          <cell r="AE6330" t="str">
            <v>03 - PENDIENTE</v>
          </cell>
          <cell r="AP6330">
            <v>70207494</v>
          </cell>
        </row>
        <row r="6331">
          <cell r="AE6331" t="str">
            <v>03 - PENDIENTE</v>
          </cell>
          <cell r="AP6331" t="str">
            <v>TE-000160-0</v>
          </cell>
        </row>
        <row r="6332">
          <cell r="AE6332" t="str">
            <v>03 - PENDIENTE</v>
          </cell>
          <cell r="AP6332">
            <v>1524774</v>
          </cell>
        </row>
        <row r="6333">
          <cell r="AE6333" t="str">
            <v>03 - PENDIENTE</v>
          </cell>
          <cell r="AP6333">
            <v>9544780</v>
          </cell>
        </row>
        <row r="6334">
          <cell r="AE6334" t="str">
            <v>03 - PENDIENTE</v>
          </cell>
          <cell r="AP6334">
            <v>100538</v>
          </cell>
        </row>
        <row r="6335">
          <cell r="AE6335" t="str">
            <v>03 - PENDIENTE</v>
          </cell>
          <cell r="AP6335">
            <v>1543096</v>
          </cell>
        </row>
        <row r="6336">
          <cell r="AE6336" t="str">
            <v>03 - PENDIENTE</v>
          </cell>
          <cell r="AP6336">
            <v>70230348</v>
          </cell>
        </row>
        <row r="6337">
          <cell r="AE6337" t="str">
            <v>03 - PENDIENTE</v>
          </cell>
          <cell r="AP6337">
            <v>2011463307</v>
          </cell>
        </row>
        <row r="6338">
          <cell r="AE6338" t="str">
            <v>03 - PENDIENTE</v>
          </cell>
          <cell r="AP6338">
            <v>54366</v>
          </cell>
        </row>
        <row r="6339">
          <cell r="AE6339" t="str">
            <v>03 - PENDIENTE</v>
          </cell>
          <cell r="AP6339">
            <v>54219</v>
          </cell>
        </row>
        <row r="6340">
          <cell r="AE6340" t="str">
            <v>03 - PENDIENTE</v>
          </cell>
          <cell r="AP6340">
            <v>1543104</v>
          </cell>
        </row>
        <row r="6341">
          <cell r="AE6341" t="str">
            <v>03 - PENDIENTE</v>
          </cell>
          <cell r="AP6341">
            <v>1493794</v>
          </cell>
        </row>
        <row r="6342">
          <cell r="AE6342" t="str">
            <v>03 - PENDIENTE</v>
          </cell>
          <cell r="AP6342">
            <v>1528105</v>
          </cell>
        </row>
        <row r="6343">
          <cell r="AE6343" t="str">
            <v>03 - PENDIENTE</v>
          </cell>
          <cell r="AP6343">
            <v>54357</v>
          </cell>
        </row>
        <row r="6344">
          <cell r="AE6344" t="str">
            <v>03 - PENDIENTE</v>
          </cell>
          <cell r="AP6344">
            <v>90574</v>
          </cell>
        </row>
        <row r="6345">
          <cell r="AE6345" t="str">
            <v>03 - PENDIENTE</v>
          </cell>
          <cell r="AP6345">
            <v>2011502221</v>
          </cell>
        </row>
        <row r="6346">
          <cell r="AE6346" t="str">
            <v>03 - PENDIENTE</v>
          </cell>
          <cell r="AP6346">
            <v>54488</v>
          </cell>
        </row>
        <row r="6347">
          <cell r="AE6347" t="str">
            <v>03 - PENDIENTE</v>
          </cell>
          <cell r="AP6347">
            <v>54145</v>
          </cell>
        </row>
        <row r="6348">
          <cell r="AE6348" t="str">
            <v>03 - PENDIENTE</v>
          </cell>
          <cell r="AP6348">
            <v>970070559</v>
          </cell>
        </row>
        <row r="6349">
          <cell r="AE6349" t="str">
            <v>03 - PENDIENTE</v>
          </cell>
          <cell r="AP6349">
            <v>53924</v>
          </cell>
        </row>
        <row r="6350">
          <cell r="AE6350" t="str">
            <v>03 - PENDIENTE</v>
          </cell>
          <cell r="AP6350">
            <v>2011964814</v>
          </cell>
        </row>
        <row r="6351">
          <cell r="AE6351" t="str">
            <v>03 - PENDIENTE</v>
          </cell>
          <cell r="AP6351">
            <v>1505015</v>
          </cell>
        </row>
        <row r="6352">
          <cell r="AE6352" t="str">
            <v>03 - PENDIENTE</v>
          </cell>
          <cell r="AP6352">
            <v>1505018</v>
          </cell>
        </row>
        <row r="6353">
          <cell r="AE6353" t="str">
            <v>03 - PENDIENTE</v>
          </cell>
          <cell r="AP6353">
            <v>1505021</v>
          </cell>
        </row>
        <row r="6354">
          <cell r="AE6354" t="str">
            <v>03 - PENDIENTE</v>
          </cell>
          <cell r="AP6354">
            <v>70234322</v>
          </cell>
        </row>
        <row r="6355">
          <cell r="AE6355" t="str">
            <v>03 - PENDIENTE</v>
          </cell>
          <cell r="AP6355">
            <v>170049942</v>
          </cell>
        </row>
        <row r="6356">
          <cell r="AE6356" t="str">
            <v>03 - PENDIENTE</v>
          </cell>
          <cell r="AP6356" t="str">
            <v>E0037561</v>
          </cell>
        </row>
        <row r="6357">
          <cell r="AE6357" t="str">
            <v>03 - PENDIENTE</v>
          </cell>
          <cell r="AP6357">
            <v>2011456123</v>
          </cell>
        </row>
        <row r="6358">
          <cell r="AE6358" t="str">
            <v>03 - PENDIENTE</v>
          </cell>
          <cell r="AP6358">
            <v>73140</v>
          </cell>
        </row>
        <row r="6359">
          <cell r="AE6359" t="str">
            <v>03 - PENDIENTE</v>
          </cell>
          <cell r="AP6359">
            <v>70230136</v>
          </cell>
        </row>
        <row r="6360">
          <cell r="AE6360" t="str">
            <v>03 - PENDIENTE</v>
          </cell>
          <cell r="AP6360">
            <v>1526406</v>
          </cell>
        </row>
        <row r="6361">
          <cell r="AE6361" t="str">
            <v>03 - PENDIENTE</v>
          </cell>
          <cell r="AP6361">
            <v>2011631016</v>
          </cell>
        </row>
        <row r="6362">
          <cell r="AE6362" t="str">
            <v>03 - PENDIENTE</v>
          </cell>
          <cell r="AP6362">
            <v>1514979</v>
          </cell>
        </row>
        <row r="6363">
          <cell r="AE6363" t="str">
            <v>03 - PENDIENTE</v>
          </cell>
          <cell r="AP6363">
            <v>1810040684</v>
          </cell>
        </row>
        <row r="6364">
          <cell r="AE6364" t="str">
            <v>03 - PENDIENTE</v>
          </cell>
          <cell r="AP6364">
            <v>1548754</v>
          </cell>
        </row>
        <row r="6365">
          <cell r="AE6365" t="str">
            <v>03 - PENDIENTE</v>
          </cell>
          <cell r="AP6365">
            <v>70215265</v>
          </cell>
        </row>
        <row r="6366">
          <cell r="AE6366" t="str">
            <v>03 - PENDIENTE</v>
          </cell>
          <cell r="AP6366">
            <v>70237366</v>
          </cell>
        </row>
        <row r="6367">
          <cell r="AE6367" t="str">
            <v>03 - PENDIENTE</v>
          </cell>
          <cell r="AP6367">
            <v>70223508</v>
          </cell>
        </row>
        <row r="6368">
          <cell r="AE6368" t="str">
            <v>03 - PENDIENTE</v>
          </cell>
          <cell r="AP6368">
            <v>70228435</v>
          </cell>
        </row>
        <row r="6369">
          <cell r="AE6369" t="str">
            <v>03 - PENDIENTE</v>
          </cell>
          <cell r="AP6369">
            <v>1490594</v>
          </cell>
        </row>
        <row r="6370">
          <cell r="AE6370" t="str">
            <v>03 - PENDIENTE</v>
          </cell>
          <cell r="AP6370">
            <v>90073877</v>
          </cell>
        </row>
        <row r="6371">
          <cell r="AE6371" t="str">
            <v>03 - PENDIENTE</v>
          </cell>
          <cell r="AP6371">
            <v>1521065</v>
          </cell>
        </row>
        <row r="6372">
          <cell r="AE6372" t="str">
            <v>03 - PENDIENTE</v>
          </cell>
          <cell r="AP6372">
            <v>9559761</v>
          </cell>
        </row>
        <row r="6373">
          <cell r="AE6373" t="str">
            <v>03 - PENDIENTE</v>
          </cell>
          <cell r="AP6373">
            <v>70210061</v>
          </cell>
        </row>
        <row r="6374">
          <cell r="AE6374" t="str">
            <v>03 - PENDIENTE</v>
          </cell>
          <cell r="AP6374">
            <v>3430001298</v>
          </cell>
        </row>
        <row r="6375">
          <cell r="AE6375" t="str">
            <v>03 - PENDIENTE</v>
          </cell>
          <cell r="AP6375">
            <v>54020</v>
          </cell>
        </row>
        <row r="6376">
          <cell r="AE6376" t="str">
            <v>03 - PENDIENTE</v>
          </cell>
          <cell r="AP6376">
            <v>1519228</v>
          </cell>
        </row>
        <row r="6377">
          <cell r="AE6377" t="str">
            <v>03 - PENDIENTE</v>
          </cell>
          <cell r="AP6377">
            <v>51400</v>
          </cell>
        </row>
        <row r="6378">
          <cell r="AE6378" t="str">
            <v>03 - PENDIENTE</v>
          </cell>
          <cell r="AP6378" t="str">
            <v>E0037766</v>
          </cell>
        </row>
        <row r="6379">
          <cell r="AE6379" t="str">
            <v>03 - PENDIENTE</v>
          </cell>
          <cell r="AP6379">
            <v>2011327243</v>
          </cell>
        </row>
        <row r="6380">
          <cell r="AE6380" t="str">
            <v>03 - PENDIENTE</v>
          </cell>
          <cell r="AP6380">
            <v>20600542</v>
          </cell>
        </row>
        <row r="6381">
          <cell r="AE6381" t="str">
            <v>03 - PENDIENTE</v>
          </cell>
          <cell r="AP6381" t="str">
            <v>TE-000622-0</v>
          </cell>
        </row>
        <row r="6382">
          <cell r="AE6382" t="str">
            <v>05 - ANULADA EN VIGENCIA</v>
          </cell>
          <cell r="AP6382">
            <v>70207344</v>
          </cell>
        </row>
        <row r="6383">
          <cell r="AE6383" t="str">
            <v>03 - PENDIENTE</v>
          </cell>
          <cell r="AP6383">
            <v>510979726405</v>
          </cell>
        </row>
        <row r="6384">
          <cell r="AE6384" t="str">
            <v>03 - PENDIENTE</v>
          </cell>
          <cell r="AP6384">
            <v>9588565</v>
          </cell>
        </row>
        <row r="6385">
          <cell r="AE6385" t="str">
            <v>03 - PENDIENTE</v>
          </cell>
          <cell r="AP6385">
            <v>30507</v>
          </cell>
        </row>
        <row r="6386">
          <cell r="AE6386" t="str">
            <v>03 - PENDIENTE</v>
          </cell>
          <cell r="AP6386">
            <v>91045468</v>
          </cell>
        </row>
        <row r="6387">
          <cell r="AE6387" t="str">
            <v>03 - PENDIENTE</v>
          </cell>
          <cell r="AP6387">
            <v>70210279</v>
          </cell>
        </row>
        <row r="6388">
          <cell r="AE6388" t="str">
            <v>03 - PENDIENTE</v>
          </cell>
          <cell r="AP6388">
            <v>70215658</v>
          </cell>
        </row>
        <row r="6389">
          <cell r="AE6389" t="str">
            <v>03 - PENDIENTE</v>
          </cell>
          <cell r="AP6389">
            <v>1525616</v>
          </cell>
        </row>
        <row r="6390">
          <cell r="AE6390" t="str">
            <v>03 - PENDIENTE</v>
          </cell>
          <cell r="AP6390">
            <v>1502209</v>
          </cell>
        </row>
        <row r="6391">
          <cell r="AE6391" t="str">
            <v>03 - PENDIENTE</v>
          </cell>
          <cell r="AP6391">
            <v>9568115</v>
          </cell>
        </row>
        <row r="6392">
          <cell r="AE6392" t="str">
            <v>03 - PENDIENTE</v>
          </cell>
          <cell r="AP6392">
            <v>2011359678</v>
          </cell>
        </row>
        <row r="6393">
          <cell r="AE6393" t="str">
            <v>03 - PENDIENTE</v>
          </cell>
          <cell r="AP6393">
            <v>1498203</v>
          </cell>
        </row>
        <row r="6394">
          <cell r="AE6394" t="str">
            <v>03 - PENDIENTE</v>
          </cell>
          <cell r="AP6394">
            <v>2011904568</v>
          </cell>
        </row>
        <row r="6395">
          <cell r="AE6395" t="str">
            <v>03 - PENDIENTE</v>
          </cell>
          <cell r="AP6395">
            <v>2011920204</v>
          </cell>
        </row>
        <row r="6396">
          <cell r="AE6396" t="str">
            <v>03 - PENDIENTE</v>
          </cell>
          <cell r="AP6396">
            <v>70216583</v>
          </cell>
        </row>
        <row r="6397">
          <cell r="AE6397" t="str">
            <v>03 - PENDIENTE</v>
          </cell>
          <cell r="AP6397">
            <v>5109774404</v>
          </cell>
        </row>
        <row r="6398">
          <cell r="AE6398" t="str">
            <v>03 - PENDIENTE</v>
          </cell>
          <cell r="AP6398">
            <v>70218356</v>
          </cell>
        </row>
        <row r="6399">
          <cell r="AE6399" t="str">
            <v>03 - PENDIENTE</v>
          </cell>
          <cell r="AP6399">
            <v>70218770</v>
          </cell>
        </row>
        <row r="6400">
          <cell r="AE6400" t="str">
            <v>03 - PENDIENTE</v>
          </cell>
          <cell r="AP6400">
            <v>2011939160</v>
          </cell>
        </row>
        <row r="6401">
          <cell r="AE6401" t="str">
            <v>03 - PENDIENTE</v>
          </cell>
          <cell r="AP6401">
            <v>70242585</v>
          </cell>
        </row>
        <row r="6402">
          <cell r="AE6402" t="str">
            <v>03 - PENDIENTE</v>
          </cell>
          <cell r="AP6402">
            <v>101748</v>
          </cell>
        </row>
        <row r="6403">
          <cell r="AE6403" t="str">
            <v>03 - PENDIENTE</v>
          </cell>
          <cell r="AP6403">
            <v>2011139493</v>
          </cell>
        </row>
        <row r="6404">
          <cell r="AE6404" t="str">
            <v>03 - PENDIENTE</v>
          </cell>
          <cell r="AP6404">
            <v>80438902</v>
          </cell>
        </row>
        <row r="6405">
          <cell r="AE6405" t="str">
            <v>03 - PENDIENTE</v>
          </cell>
          <cell r="AP6405">
            <v>21099599</v>
          </cell>
        </row>
        <row r="6406">
          <cell r="AE6406" t="str">
            <v>03 - PENDIENTE</v>
          </cell>
          <cell r="AP6406">
            <v>2011928913</v>
          </cell>
        </row>
        <row r="6407">
          <cell r="AE6407" t="str">
            <v>03 - PENDIENTE</v>
          </cell>
          <cell r="AP6407">
            <v>1300622237</v>
          </cell>
        </row>
        <row r="6408">
          <cell r="AE6408" t="str">
            <v>03 - PENDIENTE</v>
          </cell>
          <cell r="AP6408">
            <v>2032510100309</v>
          </cell>
        </row>
        <row r="6409">
          <cell r="AE6409" t="str">
            <v>03 - PENDIENTE</v>
          </cell>
          <cell r="AP6409">
            <v>2222510100099</v>
          </cell>
        </row>
        <row r="6410">
          <cell r="AE6410" t="str">
            <v>03 - PENDIENTE</v>
          </cell>
          <cell r="AP6410">
            <v>2402510106290</v>
          </cell>
        </row>
        <row r="6411">
          <cell r="AE6411" t="str">
            <v>03 - PENDIENTE</v>
          </cell>
          <cell r="AP6411" t="str">
            <v>E0037340</v>
          </cell>
        </row>
        <row r="6412">
          <cell r="AE6412" t="str">
            <v>03 - PENDIENTE</v>
          </cell>
          <cell r="AP6412">
            <v>64821</v>
          </cell>
        </row>
        <row r="6413">
          <cell r="AE6413" t="str">
            <v>03 - PENDIENTE</v>
          </cell>
          <cell r="AP6413">
            <v>64822</v>
          </cell>
        </row>
        <row r="6414">
          <cell r="AE6414" t="str">
            <v>03 - PENDIENTE</v>
          </cell>
          <cell r="AP6414">
            <v>9453803</v>
          </cell>
        </row>
        <row r="6415">
          <cell r="AE6415" t="str">
            <v>03 - PENDIENTE</v>
          </cell>
          <cell r="AP6415">
            <v>70216538</v>
          </cell>
        </row>
        <row r="6416">
          <cell r="AE6416" t="str">
            <v>03 - PENDIENTE</v>
          </cell>
          <cell r="AP6416">
            <v>9480347</v>
          </cell>
        </row>
        <row r="6417">
          <cell r="AE6417" t="str">
            <v>03 - PENDIENTE</v>
          </cell>
          <cell r="AP6417">
            <v>70228666</v>
          </cell>
        </row>
        <row r="6418">
          <cell r="AE6418" t="str">
            <v>03 - PENDIENTE</v>
          </cell>
          <cell r="AP6418">
            <v>70234939</v>
          </cell>
        </row>
        <row r="6419">
          <cell r="AE6419" t="str">
            <v>03 - PENDIENTE</v>
          </cell>
          <cell r="AP6419">
            <v>2032512200148</v>
          </cell>
        </row>
        <row r="6420">
          <cell r="AE6420" t="str">
            <v>03 - PENDIENTE</v>
          </cell>
          <cell r="AP6420">
            <v>2222512200024</v>
          </cell>
        </row>
        <row r="6421">
          <cell r="AE6421" t="str">
            <v>03 - PENDIENTE</v>
          </cell>
          <cell r="AP6421">
            <v>2402512200111</v>
          </cell>
        </row>
        <row r="6422">
          <cell r="AE6422" t="str">
            <v>03 - PENDIENTE</v>
          </cell>
          <cell r="AP6422">
            <v>2502512200008</v>
          </cell>
        </row>
        <row r="6423">
          <cell r="AE6423" t="str">
            <v>03 - PENDIENTE</v>
          </cell>
          <cell r="AP6423">
            <v>2522523000002</v>
          </cell>
        </row>
        <row r="6424">
          <cell r="AE6424" t="str">
            <v>03 - PENDIENTE</v>
          </cell>
          <cell r="AP6424">
            <v>75504</v>
          </cell>
        </row>
        <row r="6425">
          <cell r="AE6425" t="str">
            <v>03 - PENDIENTE</v>
          </cell>
          <cell r="AP6425">
            <v>15410441</v>
          </cell>
        </row>
        <row r="6426">
          <cell r="AE6426" t="str">
            <v>03 - PENDIENTE</v>
          </cell>
          <cell r="AP6426">
            <v>2011849846</v>
          </cell>
        </row>
        <row r="6427">
          <cell r="AE6427" t="str">
            <v>03 - PENDIENTE</v>
          </cell>
          <cell r="AP6427">
            <v>2011849853</v>
          </cell>
        </row>
        <row r="6428">
          <cell r="AE6428" t="str">
            <v>03 - PENDIENTE</v>
          </cell>
          <cell r="AP6428">
            <v>2011849856</v>
          </cell>
        </row>
        <row r="6429">
          <cell r="AE6429" t="str">
            <v>03 - PENDIENTE</v>
          </cell>
          <cell r="AP6429">
            <v>2011854790</v>
          </cell>
        </row>
        <row r="6430">
          <cell r="AE6430" t="str">
            <v>03 - PENDIENTE</v>
          </cell>
          <cell r="AP6430">
            <v>2011849851</v>
          </cell>
        </row>
        <row r="6431">
          <cell r="AE6431" t="str">
            <v>03 - PENDIENTE</v>
          </cell>
          <cell r="AP6431">
            <v>2011923323</v>
          </cell>
        </row>
        <row r="6432">
          <cell r="AE6432" t="str">
            <v>03 - PENDIENTE</v>
          </cell>
          <cell r="AP6432">
            <v>2011923332</v>
          </cell>
        </row>
        <row r="6433">
          <cell r="AE6433" t="str">
            <v>03 - PENDIENTE</v>
          </cell>
          <cell r="AP6433">
            <v>2011946409</v>
          </cell>
        </row>
        <row r="6434">
          <cell r="AE6434" t="str">
            <v>03 - PENDIENTE</v>
          </cell>
          <cell r="AP6434">
            <v>70219969</v>
          </cell>
        </row>
        <row r="6435">
          <cell r="AE6435" t="str">
            <v>03 - PENDIENTE</v>
          </cell>
          <cell r="AP6435">
            <v>70219971</v>
          </cell>
        </row>
        <row r="6436">
          <cell r="AE6436" t="str">
            <v>03 - PENDIENTE</v>
          </cell>
          <cell r="AP6436">
            <v>6000029247</v>
          </cell>
        </row>
        <row r="6437">
          <cell r="AE6437" t="str">
            <v>03 - PENDIENTE</v>
          </cell>
          <cell r="AP6437">
            <v>70239812</v>
          </cell>
        </row>
        <row r="6438">
          <cell r="AE6438" t="str">
            <v>03 - PENDIENTE</v>
          </cell>
          <cell r="AP6438">
            <v>20209641</v>
          </cell>
        </row>
        <row r="6439">
          <cell r="AE6439" t="str">
            <v>03 - PENDIENTE</v>
          </cell>
          <cell r="AP6439">
            <v>2011379888</v>
          </cell>
        </row>
        <row r="6440">
          <cell r="AE6440" t="str">
            <v>03 - PENDIENTE</v>
          </cell>
          <cell r="AP6440">
            <v>131203</v>
          </cell>
        </row>
        <row r="6441">
          <cell r="AE6441" t="str">
            <v>03 - PENDIENTE</v>
          </cell>
          <cell r="AP6441">
            <v>220026136</v>
          </cell>
        </row>
        <row r="6442">
          <cell r="AE6442" t="str">
            <v>03 - PENDIENTE</v>
          </cell>
          <cell r="AP6442">
            <v>220026111</v>
          </cell>
        </row>
        <row r="6443">
          <cell r="AE6443" t="str">
            <v>03 - PENDIENTE</v>
          </cell>
          <cell r="AP6443">
            <v>220026120</v>
          </cell>
        </row>
        <row r="6444">
          <cell r="AE6444" t="str">
            <v>03 - PENDIENTE</v>
          </cell>
          <cell r="AP6444">
            <v>21382280</v>
          </cell>
        </row>
        <row r="6445">
          <cell r="AE6445" t="str">
            <v>03 - PENDIENTE</v>
          </cell>
          <cell r="AP6445">
            <v>70210443</v>
          </cell>
        </row>
        <row r="6446">
          <cell r="AE6446" t="str">
            <v>03 - PENDIENTE</v>
          </cell>
          <cell r="AP6446">
            <v>7021210112294</v>
          </cell>
        </row>
        <row r="6447">
          <cell r="AE6447" t="str">
            <v>03 - PENDIENTE</v>
          </cell>
          <cell r="AP6447">
            <v>21099510</v>
          </cell>
        </row>
        <row r="6448">
          <cell r="AE6448" t="str">
            <v>03 - PENDIENTE</v>
          </cell>
          <cell r="AP6448">
            <v>62100477</v>
          </cell>
        </row>
        <row r="6449">
          <cell r="AE6449" t="str">
            <v>03 - PENDIENTE</v>
          </cell>
          <cell r="AP6449">
            <v>1128788</v>
          </cell>
        </row>
        <row r="6450">
          <cell r="AE6450" t="str">
            <v>03 - PENDIENTE</v>
          </cell>
          <cell r="AP6450">
            <v>553181</v>
          </cell>
        </row>
        <row r="6451">
          <cell r="AE6451" t="str">
            <v>03 - PENDIENTE</v>
          </cell>
          <cell r="AP6451">
            <v>7012200000288</v>
          </cell>
        </row>
        <row r="6452">
          <cell r="AE6452" t="str">
            <v>03 - PENDIENTE</v>
          </cell>
          <cell r="AP6452">
            <v>7022200000327</v>
          </cell>
        </row>
        <row r="6453">
          <cell r="AE6453" t="str">
            <v>03 - PENDIENTE</v>
          </cell>
          <cell r="AP6453">
            <v>1300411382</v>
          </cell>
        </row>
        <row r="6454">
          <cell r="AE6454" t="str">
            <v>03 - PENDIENTE</v>
          </cell>
          <cell r="AP6454">
            <v>20665471</v>
          </cell>
        </row>
        <row r="6455">
          <cell r="AE6455" t="str">
            <v>03 - PENDIENTE</v>
          </cell>
          <cell r="AP6455">
            <v>70205965</v>
          </cell>
        </row>
        <row r="6456">
          <cell r="AE6456" t="str">
            <v>03 - PENDIENTE</v>
          </cell>
          <cell r="AP6456">
            <v>70210622</v>
          </cell>
        </row>
        <row r="6457">
          <cell r="AE6457" t="str">
            <v>03 - PENDIENTE</v>
          </cell>
          <cell r="AP6457">
            <v>70216357</v>
          </cell>
        </row>
        <row r="6458">
          <cell r="AE6458" t="str">
            <v>03 - PENDIENTE</v>
          </cell>
          <cell r="AP6458">
            <v>220027096</v>
          </cell>
        </row>
        <row r="6459">
          <cell r="AE6459" t="str">
            <v>03 - PENDIENTE</v>
          </cell>
          <cell r="AP6459">
            <v>1012510101041</v>
          </cell>
        </row>
        <row r="6460">
          <cell r="AE6460" t="str">
            <v>03 - PENDIENTE</v>
          </cell>
          <cell r="AP6460">
            <v>220027312</v>
          </cell>
        </row>
        <row r="6461">
          <cell r="AE6461" t="str">
            <v>03 - PENDIENTE</v>
          </cell>
          <cell r="AP6461">
            <v>2312510100125</v>
          </cell>
        </row>
        <row r="6462">
          <cell r="AE6462" t="str">
            <v>03 - PENDIENTE</v>
          </cell>
          <cell r="AP6462">
            <v>1504535</v>
          </cell>
        </row>
        <row r="6463">
          <cell r="AE6463" t="str">
            <v>03 - PENDIENTE</v>
          </cell>
          <cell r="AP6463">
            <v>30382574</v>
          </cell>
        </row>
        <row r="6464">
          <cell r="AE6464" t="str">
            <v>03 - PENDIENTE</v>
          </cell>
          <cell r="AP6464">
            <v>9261254</v>
          </cell>
        </row>
        <row r="6465">
          <cell r="AE6465" t="str">
            <v>03 - PENDIENTE</v>
          </cell>
          <cell r="AP6465">
            <v>70208168</v>
          </cell>
        </row>
        <row r="6466">
          <cell r="AE6466" t="str">
            <v>03 - PENDIENTE</v>
          </cell>
          <cell r="AP6466">
            <v>70210624</v>
          </cell>
        </row>
        <row r="6467">
          <cell r="AE6467" t="str">
            <v>03 - PENDIENTE</v>
          </cell>
          <cell r="AP6467">
            <v>78835</v>
          </cell>
        </row>
        <row r="6468">
          <cell r="AE6468" t="str">
            <v>03 - PENDIENTE</v>
          </cell>
          <cell r="AP6468">
            <v>1300376784</v>
          </cell>
        </row>
        <row r="6469">
          <cell r="AE6469" t="str">
            <v>03 - PENDIENTE</v>
          </cell>
          <cell r="AP6469">
            <v>128895</v>
          </cell>
        </row>
        <row r="6470">
          <cell r="AE6470" t="str">
            <v>03 - PENDIENTE</v>
          </cell>
          <cell r="AP6470">
            <v>602945212</v>
          </cell>
        </row>
        <row r="6471">
          <cell r="AE6471" t="str">
            <v>03 - PENDIENTE</v>
          </cell>
          <cell r="AP6471">
            <v>21146564</v>
          </cell>
        </row>
        <row r="6472">
          <cell r="AE6472" t="str">
            <v>03 - PENDIENTE</v>
          </cell>
          <cell r="AP6472">
            <v>20484665</v>
          </cell>
        </row>
        <row r="6473">
          <cell r="AE6473" t="str">
            <v>03 - PENDIENTE</v>
          </cell>
          <cell r="AP6473">
            <v>2011326535</v>
          </cell>
        </row>
        <row r="6474">
          <cell r="AE6474" t="str">
            <v>03 - PENDIENTE</v>
          </cell>
          <cell r="AP6474">
            <v>1129690</v>
          </cell>
        </row>
        <row r="6475">
          <cell r="AE6475" t="str">
            <v>03 - PENDIENTE</v>
          </cell>
          <cell r="AP6475">
            <v>620101361</v>
          </cell>
        </row>
        <row r="6476">
          <cell r="AE6476" t="str">
            <v>03 - PENDIENTE</v>
          </cell>
          <cell r="AP6476">
            <v>510982482305</v>
          </cell>
        </row>
        <row r="6477">
          <cell r="AE6477" t="str">
            <v>03 - PENDIENTE</v>
          </cell>
          <cell r="AP6477">
            <v>510982482405</v>
          </cell>
        </row>
        <row r="6478">
          <cell r="AE6478" t="str">
            <v>03 - PENDIENTE</v>
          </cell>
          <cell r="AP6478">
            <v>10125840</v>
          </cell>
        </row>
        <row r="6479">
          <cell r="AE6479" t="str">
            <v>03 - PENDIENTE</v>
          </cell>
          <cell r="AP6479">
            <v>251980</v>
          </cell>
        </row>
        <row r="6480">
          <cell r="AE6480" t="str">
            <v>03 - PENDIENTE</v>
          </cell>
          <cell r="AP6480">
            <v>3022500029470</v>
          </cell>
        </row>
        <row r="6481">
          <cell r="AE6481" t="str">
            <v>03 - PENDIENTE</v>
          </cell>
          <cell r="AP6481">
            <v>3022500029518</v>
          </cell>
        </row>
        <row r="6482">
          <cell r="AE6482" t="str">
            <v>03 - PENDIENTE</v>
          </cell>
          <cell r="AP6482">
            <v>3022500029564</v>
          </cell>
        </row>
        <row r="6483">
          <cell r="AE6483" t="str">
            <v>03 - PENDIENTE</v>
          </cell>
          <cell r="AP6483">
            <v>3022500029573</v>
          </cell>
        </row>
        <row r="6484">
          <cell r="AE6484" t="str">
            <v>03 - PENDIENTE</v>
          </cell>
          <cell r="AP6484">
            <v>3022500029578</v>
          </cell>
        </row>
        <row r="6485">
          <cell r="AE6485" t="str">
            <v>03 - PENDIENTE</v>
          </cell>
          <cell r="AP6485">
            <v>3022500029586</v>
          </cell>
        </row>
        <row r="6486">
          <cell r="AE6486" t="str">
            <v>03 - PENDIENTE</v>
          </cell>
          <cell r="AP6486">
            <v>3022500029594</v>
          </cell>
        </row>
        <row r="6487">
          <cell r="AE6487" t="str">
            <v>03 - PENDIENTE</v>
          </cell>
          <cell r="AP6487">
            <v>3012500009977</v>
          </cell>
        </row>
        <row r="6488">
          <cell r="AE6488" t="str">
            <v>03 - PENDIENTE</v>
          </cell>
          <cell r="AP6488">
            <v>3012500009997</v>
          </cell>
        </row>
        <row r="6489">
          <cell r="AE6489" t="str">
            <v>03 - PENDIENTE</v>
          </cell>
          <cell r="AP6489">
            <v>3012500010016</v>
          </cell>
        </row>
        <row r="6490">
          <cell r="AE6490" t="str">
            <v>03 - PENDIENTE</v>
          </cell>
          <cell r="AP6490">
            <v>7012200031836</v>
          </cell>
        </row>
        <row r="6491">
          <cell r="AE6491" t="str">
            <v>03 - PENDIENTE</v>
          </cell>
          <cell r="AP6491">
            <v>7022200037106</v>
          </cell>
        </row>
        <row r="6492">
          <cell r="AE6492" t="str">
            <v>03 - PENDIENTE</v>
          </cell>
          <cell r="AP6492">
            <v>6102210103415</v>
          </cell>
        </row>
        <row r="6493">
          <cell r="AE6493" t="str">
            <v>03 - PENDIENTE</v>
          </cell>
          <cell r="AP6493">
            <v>20550193</v>
          </cell>
        </row>
        <row r="6494">
          <cell r="AE6494" t="str">
            <v>03 - PENDIENTE</v>
          </cell>
          <cell r="AP6494">
            <v>20335569</v>
          </cell>
        </row>
        <row r="6495">
          <cell r="AE6495" t="str">
            <v>03 - PENDIENTE</v>
          </cell>
          <cell r="AP6495">
            <v>70211871</v>
          </cell>
        </row>
        <row r="6496">
          <cell r="AE6496" t="str">
            <v>03 - PENDIENTE</v>
          </cell>
          <cell r="AP6496">
            <v>1542307</v>
          </cell>
        </row>
        <row r="6497">
          <cell r="AE6497" t="str">
            <v>03 - PENDIENTE</v>
          </cell>
          <cell r="AP6497">
            <v>21345488</v>
          </cell>
        </row>
        <row r="6498">
          <cell r="AE6498" t="str">
            <v>03 - PENDIENTE</v>
          </cell>
          <cell r="AP6498">
            <v>1300394983</v>
          </cell>
        </row>
        <row r="6499">
          <cell r="AE6499" t="str">
            <v>03 - PENDIENTE</v>
          </cell>
          <cell r="AP6499">
            <v>131207</v>
          </cell>
        </row>
        <row r="6500">
          <cell r="AE6500" t="str">
            <v>03 - PENDIENTE</v>
          </cell>
          <cell r="AP6500" t="str">
            <v>E0038653</v>
          </cell>
        </row>
        <row r="6501">
          <cell r="AE6501" t="str">
            <v>03 - PENDIENTE</v>
          </cell>
          <cell r="AP6501">
            <v>2011347911</v>
          </cell>
        </row>
        <row r="6502">
          <cell r="AE6502" t="str">
            <v>03 - PENDIENTE</v>
          </cell>
          <cell r="AP6502">
            <v>1544218</v>
          </cell>
        </row>
        <row r="6503">
          <cell r="AE6503" t="str">
            <v>03 - PENDIENTE</v>
          </cell>
          <cell r="AP6503">
            <v>604063419</v>
          </cell>
        </row>
        <row r="6504">
          <cell r="AE6504" t="str">
            <v>03 - PENDIENTE</v>
          </cell>
          <cell r="AP6504">
            <v>620100333</v>
          </cell>
        </row>
        <row r="6505">
          <cell r="AE6505" t="str">
            <v>03 - PENDIENTE</v>
          </cell>
          <cell r="AP6505">
            <v>1128639</v>
          </cell>
        </row>
        <row r="6506">
          <cell r="AE6506" t="str">
            <v>03 - PENDIENTE</v>
          </cell>
          <cell r="AP6506">
            <v>3012000000929</v>
          </cell>
        </row>
        <row r="6507">
          <cell r="AE6507" t="str">
            <v>03 - PENDIENTE</v>
          </cell>
          <cell r="AP6507">
            <v>2102410800004</v>
          </cell>
        </row>
        <row r="6508">
          <cell r="AE6508" t="str">
            <v>03 - PENDIENTE</v>
          </cell>
          <cell r="AP6508">
            <v>2402410800094</v>
          </cell>
        </row>
        <row r="6509">
          <cell r="AE6509" t="str">
            <v>03 - PENDIENTE</v>
          </cell>
          <cell r="AP6509">
            <v>2032410800022</v>
          </cell>
        </row>
        <row r="6510">
          <cell r="AE6510" t="str">
            <v>03 - PENDIENTE</v>
          </cell>
          <cell r="AP6510">
            <v>3011800010046</v>
          </cell>
        </row>
        <row r="6511">
          <cell r="AE6511" t="str">
            <v>03 - PENDIENTE</v>
          </cell>
          <cell r="AP6511">
            <v>600197916</v>
          </cell>
        </row>
        <row r="6512">
          <cell r="AE6512" t="str">
            <v>03 - PENDIENTE</v>
          </cell>
          <cell r="AP6512">
            <v>3022500136458</v>
          </cell>
        </row>
        <row r="6513">
          <cell r="AE6513" t="str">
            <v>03 - PENDIENTE</v>
          </cell>
          <cell r="AP6513">
            <v>3022500192443</v>
          </cell>
        </row>
        <row r="6514">
          <cell r="AE6514" t="str">
            <v>03 - PENDIENTE</v>
          </cell>
          <cell r="AP6514">
            <v>70234004</v>
          </cell>
        </row>
        <row r="6515">
          <cell r="AE6515" t="str">
            <v>03 - PENDIENTE</v>
          </cell>
          <cell r="AP6515">
            <v>70234203</v>
          </cell>
        </row>
        <row r="6516">
          <cell r="AE6516" t="str">
            <v>03 - PENDIENTE</v>
          </cell>
          <cell r="AP6516">
            <v>1129083</v>
          </cell>
        </row>
        <row r="6517">
          <cell r="AE6517" t="str">
            <v>03 - PENDIENTE</v>
          </cell>
          <cell r="AP6517">
            <v>620100752</v>
          </cell>
        </row>
        <row r="6518">
          <cell r="AE6518" t="str">
            <v>03 - PENDIENTE</v>
          </cell>
          <cell r="AP6518" t="str">
            <v>E0037537</v>
          </cell>
        </row>
        <row r="6519">
          <cell r="AE6519" t="str">
            <v>03 - PENDIENTE</v>
          </cell>
          <cell r="AP6519">
            <v>20630074</v>
          </cell>
        </row>
        <row r="6520">
          <cell r="AE6520" t="str">
            <v>03 - PENDIENTE</v>
          </cell>
          <cell r="AP6520">
            <v>2011711426</v>
          </cell>
        </row>
        <row r="6521">
          <cell r="AE6521" t="str">
            <v>03 - PENDIENTE</v>
          </cell>
          <cell r="AP6521">
            <v>9573383</v>
          </cell>
        </row>
        <row r="6522">
          <cell r="AE6522" t="str">
            <v>03 - PENDIENTE</v>
          </cell>
          <cell r="AP6522">
            <v>17006735</v>
          </cell>
        </row>
        <row r="6523">
          <cell r="AE6523" t="str">
            <v>03 - PENDIENTE</v>
          </cell>
          <cell r="AP6523">
            <v>6102300001873</v>
          </cell>
        </row>
        <row r="6524">
          <cell r="AE6524" t="str">
            <v>03 - PENDIENTE</v>
          </cell>
          <cell r="AP6524">
            <v>21346949</v>
          </cell>
        </row>
        <row r="6525">
          <cell r="AE6525" t="str">
            <v>03 - PENDIENTE</v>
          </cell>
          <cell r="AP6525">
            <v>70215330</v>
          </cell>
        </row>
        <row r="6526">
          <cell r="AE6526" t="str">
            <v>03 - PENDIENTE</v>
          </cell>
          <cell r="AP6526" t="str">
            <v>E0037543</v>
          </cell>
        </row>
        <row r="6527">
          <cell r="AE6527" t="str">
            <v>03 - PENDIENTE</v>
          </cell>
          <cell r="AP6527">
            <v>1300620053</v>
          </cell>
        </row>
        <row r="6528">
          <cell r="AE6528" t="str">
            <v>03 - PENDIENTE</v>
          </cell>
          <cell r="AP6528">
            <v>1000282043</v>
          </cell>
        </row>
        <row r="6529">
          <cell r="AE6529" t="str">
            <v>03 - PENDIENTE</v>
          </cell>
          <cell r="AP6529">
            <v>20793992</v>
          </cell>
        </row>
        <row r="6530">
          <cell r="AE6530" t="str">
            <v>03 - PENDIENTE</v>
          </cell>
          <cell r="AP6530">
            <v>220027409</v>
          </cell>
        </row>
        <row r="6531">
          <cell r="AE6531" t="str">
            <v>03 - PENDIENTE</v>
          </cell>
          <cell r="AP6531">
            <v>6000028666</v>
          </cell>
        </row>
        <row r="6532">
          <cell r="AE6532" t="str">
            <v>03 - PENDIENTE</v>
          </cell>
          <cell r="AP6532">
            <v>21131364</v>
          </cell>
        </row>
        <row r="6533">
          <cell r="AE6533" t="str">
            <v>03 - PENDIENTE</v>
          </cell>
          <cell r="AP6533">
            <v>21150921</v>
          </cell>
        </row>
        <row r="6534">
          <cell r="AE6534" t="str">
            <v>03 - PENDIENTE</v>
          </cell>
          <cell r="AP6534">
            <v>21131364</v>
          </cell>
        </row>
        <row r="6535">
          <cell r="AE6535" t="str">
            <v>03 - PENDIENTE</v>
          </cell>
          <cell r="AP6535" t="str">
            <v>E0038819</v>
          </cell>
        </row>
        <row r="6536">
          <cell r="AE6536" t="str">
            <v>03 - PENDIENTE</v>
          </cell>
          <cell r="AP6536">
            <v>70218288</v>
          </cell>
        </row>
        <row r="6537">
          <cell r="AE6537" t="str">
            <v>03 - PENDIENTE</v>
          </cell>
          <cell r="AP6537">
            <v>220027715</v>
          </cell>
        </row>
        <row r="6538">
          <cell r="AE6538" t="str">
            <v>03 - PENDIENTE</v>
          </cell>
          <cell r="AP6538">
            <v>220027718</v>
          </cell>
        </row>
        <row r="6539">
          <cell r="AE6539" t="str">
            <v>03 - PENDIENTE</v>
          </cell>
          <cell r="AP6539">
            <v>21148565</v>
          </cell>
        </row>
        <row r="6540">
          <cell r="AE6540" t="str">
            <v>03 - PENDIENTE</v>
          </cell>
          <cell r="AP6540">
            <v>131204</v>
          </cell>
        </row>
        <row r="6541">
          <cell r="AE6541" t="str">
            <v>03 - PENDIENTE</v>
          </cell>
          <cell r="AP6541">
            <v>130687</v>
          </cell>
        </row>
        <row r="6542">
          <cell r="AE6542" t="str">
            <v>03 - PENDIENTE</v>
          </cell>
          <cell r="AP6542">
            <v>21334366</v>
          </cell>
        </row>
        <row r="6543">
          <cell r="AE6543" t="str">
            <v>03 - PENDIENTE</v>
          </cell>
          <cell r="AP6543">
            <v>125029</v>
          </cell>
        </row>
        <row r="6544">
          <cell r="AE6544" t="str">
            <v>03 - PENDIENTE</v>
          </cell>
          <cell r="AP6544">
            <v>131205</v>
          </cell>
        </row>
        <row r="6545">
          <cell r="AE6545" t="str">
            <v>03 - PENDIENTE</v>
          </cell>
          <cell r="AP6545">
            <v>3022500106112</v>
          </cell>
        </row>
        <row r="6546">
          <cell r="AE6546" t="str">
            <v>03 - PENDIENTE</v>
          </cell>
          <cell r="AP6546">
            <v>9554157</v>
          </cell>
        </row>
        <row r="6547">
          <cell r="AE6547" t="str">
            <v>03 - PENDIENTE</v>
          </cell>
          <cell r="AP6547">
            <v>1019132826</v>
          </cell>
        </row>
        <row r="6548">
          <cell r="AE6548" t="str">
            <v>03 - PENDIENTE</v>
          </cell>
          <cell r="AP6548">
            <v>30382595</v>
          </cell>
        </row>
        <row r="6549">
          <cell r="AE6549" t="str">
            <v>03 - PENDIENTE</v>
          </cell>
          <cell r="AP6549">
            <v>9261280</v>
          </cell>
        </row>
        <row r="6550">
          <cell r="AE6550" t="str">
            <v>03 - PENDIENTE</v>
          </cell>
          <cell r="AP6550">
            <v>9792</v>
          </cell>
        </row>
        <row r="6551">
          <cell r="AE6551" t="str">
            <v>03 - PENDIENTE</v>
          </cell>
          <cell r="AP6551">
            <v>1162210800041</v>
          </cell>
        </row>
        <row r="6552">
          <cell r="AE6552" t="str">
            <v>03 - PENDIENTE</v>
          </cell>
          <cell r="AP6552">
            <v>537822</v>
          </cell>
        </row>
        <row r="6553">
          <cell r="AE6553" t="str">
            <v>03 - PENDIENTE</v>
          </cell>
          <cell r="AP6553">
            <v>507263</v>
          </cell>
        </row>
        <row r="6554">
          <cell r="AE6554" t="str">
            <v>03 - PENDIENTE</v>
          </cell>
          <cell r="AP6554">
            <v>19918232</v>
          </cell>
        </row>
        <row r="6555">
          <cell r="AE6555" t="str">
            <v>03 - PENDIENTE</v>
          </cell>
          <cell r="AP6555">
            <v>20879521</v>
          </cell>
        </row>
        <row r="6556">
          <cell r="AE6556" t="str">
            <v>03 - PENDIENTE</v>
          </cell>
          <cell r="AP6556">
            <v>553056</v>
          </cell>
        </row>
        <row r="6557">
          <cell r="AE6557" t="str">
            <v>03 - PENDIENTE</v>
          </cell>
          <cell r="AP6557">
            <v>1300617281</v>
          </cell>
        </row>
        <row r="6558">
          <cell r="AE6558" t="str">
            <v>03 - PENDIENTE</v>
          </cell>
          <cell r="AP6558">
            <v>127052</v>
          </cell>
        </row>
        <row r="6559">
          <cell r="AE6559" t="str">
            <v>03 - PENDIENTE</v>
          </cell>
          <cell r="AP6559">
            <v>131206</v>
          </cell>
        </row>
        <row r="6560">
          <cell r="AE6560" t="str">
            <v>03 - PENDIENTE</v>
          </cell>
          <cell r="AP6560">
            <v>131314</v>
          </cell>
        </row>
        <row r="6561">
          <cell r="AE6561" t="str">
            <v>03 - PENDIENTE</v>
          </cell>
          <cell r="AP6561">
            <v>1517915</v>
          </cell>
        </row>
        <row r="6562">
          <cell r="AE6562" t="str">
            <v>03 - PENDIENTE</v>
          </cell>
          <cell r="AP6562">
            <v>6000027861</v>
          </cell>
        </row>
        <row r="6563">
          <cell r="AE6563" t="str">
            <v>03 - PENDIENTE</v>
          </cell>
          <cell r="AP6563">
            <v>1000280714</v>
          </cell>
        </row>
        <row r="6564">
          <cell r="AE6564" t="str">
            <v>03 - PENDIENTE</v>
          </cell>
          <cell r="AP6564">
            <v>885168</v>
          </cell>
        </row>
        <row r="6565">
          <cell r="AE6565" t="str">
            <v>03 - PENDIENTE</v>
          </cell>
          <cell r="AP6565">
            <v>9563396</v>
          </cell>
        </row>
        <row r="6566">
          <cell r="AE6566" t="str">
            <v>03 - PENDIENTE</v>
          </cell>
          <cell r="AP6566">
            <v>70235857</v>
          </cell>
        </row>
        <row r="6567">
          <cell r="AE6567" t="str">
            <v>03 - PENDIENTE</v>
          </cell>
          <cell r="AP6567">
            <v>220026808</v>
          </cell>
        </row>
        <row r="6568">
          <cell r="AE6568" t="str">
            <v>03 - PENDIENTE</v>
          </cell>
          <cell r="AP6568">
            <v>2402410101910</v>
          </cell>
        </row>
        <row r="6569">
          <cell r="AE6569" t="str">
            <v>03 - PENDIENTE</v>
          </cell>
          <cell r="AP6569">
            <v>2402410101911</v>
          </cell>
        </row>
        <row r="6570">
          <cell r="AE6570" t="str">
            <v>03 - PENDIENTE</v>
          </cell>
          <cell r="AP6570">
            <v>2202410100472</v>
          </cell>
        </row>
        <row r="6571">
          <cell r="AE6571" t="str">
            <v>03 - PENDIENTE</v>
          </cell>
          <cell r="AP6571">
            <v>2202410100473</v>
          </cell>
        </row>
        <row r="6572">
          <cell r="AE6572" t="str">
            <v>03 - PENDIENTE</v>
          </cell>
          <cell r="AP6572">
            <v>1495169</v>
          </cell>
        </row>
        <row r="6573">
          <cell r="AE6573" t="str">
            <v>03 - PENDIENTE</v>
          </cell>
          <cell r="AP6573" t="str">
            <v>E0038807</v>
          </cell>
        </row>
        <row r="6574">
          <cell r="AE6574" t="str">
            <v>03 - PENDIENTE</v>
          </cell>
          <cell r="AP6574">
            <v>620101619</v>
          </cell>
        </row>
        <row r="6575">
          <cell r="AE6575" t="str">
            <v>03 - PENDIENTE</v>
          </cell>
          <cell r="AP6575">
            <v>126219</v>
          </cell>
        </row>
        <row r="6576">
          <cell r="AE6576" t="str">
            <v>03 - PENDIENTE</v>
          </cell>
          <cell r="AP6576">
            <v>6102400003755</v>
          </cell>
        </row>
        <row r="6577">
          <cell r="AE6577" t="str">
            <v>03 - PENDIENTE</v>
          </cell>
          <cell r="AP6577">
            <v>53776</v>
          </cell>
        </row>
        <row r="6578">
          <cell r="AE6578" t="str">
            <v>03 - PENDIENTE</v>
          </cell>
          <cell r="AP6578">
            <v>53775</v>
          </cell>
        </row>
        <row r="6579">
          <cell r="AE6579" t="str">
            <v>03 - PENDIENTE</v>
          </cell>
          <cell r="AP6579">
            <v>53777</v>
          </cell>
        </row>
        <row r="6580">
          <cell r="AE6580" t="str">
            <v>03 - PENDIENTE</v>
          </cell>
          <cell r="AP6580">
            <v>53778</v>
          </cell>
        </row>
        <row r="6581">
          <cell r="AE6581" t="str">
            <v>03 - PENDIENTE</v>
          </cell>
          <cell r="AP6581">
            <v>53783</v>
          </cell>
        </row>
        <row r="6582">
          <cell r="AE6582" t="str">
            <v>03 - PENDIENTE</v>
          </cell>
          <cell r="AP6582">
            <v>1300391328</v>
          </cell>
        </row>
        <row r="6583">
          <cell r="AE6583" t="str">
            <v>03 - PENDIENTE</v>
          </cell>
          <cell r="AP6583">
            <v>70210320</v>
          </cell>
        </row>
        <row r="6584">
          <cell r="AE6584" t="str">
            <v>03 - PENDIENTE</v>
          </cell>
          <cell r="AP6584">
            <v>116444</v>
          </cell>
        </row>
        <row r="6585">
          <cell r="AE6585" t="str">
            <v>03 - PENDIENTE</v>
          </cell>
          <cell r="AP6585">
            <v>17297780</v>
          </cell>
        </row>
        <row r="6586">
          <cell r="AE6586" t="str">
            <v>03 - PENDIENTE</v>
          </cell>
          <cell r="AP6586">
            <v>2402510106067</v>
          </cell>
        </row>
        <row r="6587">
          <cell r="AE6587" t="str">
            <v>03 - PENDIENTE</v>
          </cell>
          <cell r="AP6587">
            <v>2202510100927</v>
          </cell>
        </row>
        <row r="6588">
          <cell r="AE6588" t="str">
            <v>03 - PENDIENTE</v>
          </cell>
          <cell r="AP6588">
            <v>130945</v>
          </cell>
        </row>
        <row r="6589">
          <cell r="AE6589" t="str">
            <v>03 - PENDIENTE</v>
          </cell>
          <cell r="AP6589">
            <v>75617</v>
          </cell>
        </row>
        <row r="6590">
          <cell r="AE6590" t="str">
            <v>03 - PENDIENTE</v>
          </cell>
          <cell r="AP6590">
            <v>127852</v>
          </cell>
        </row>
        <row r="6591">
          <cell r="AE6591" t="str">
            <v>03 - PENDIENTE</v>
          </cell>
          <cell r="AP6591">
            <v>6208312</v>
          </cell>
        </row>
        <row r="6592">
          <cell r="AE6592" t="str">
            <v>03 - PENDIENTE</v>
          </cell>
          <cell r="AP6592">
            <v>20196465</v>
          </cell>
        </row>
        <row r="6593">
          <cell r="AE6593" t="str">
            <v>03 - PENDIENTE</v>
          </cell>
          <cell r="AP6593">
            <v>171766</v>
          </cell>
        </row>
        <row r="6594">
          <cell r="AE6594" t="str">
            <v>03 - PENDIENTE</v>
          </cell>
          <cell r="AP6594">
            <v>70229392</v>
          </cell>
        </row>
        <row r="6595">
          <cell r="AE6595" t="str">
            <v>03 - PENDIENTE</v>
          </cell>
          <cell r="AP6595">
            <v>553711</v>
          </cell>
        </row>
        <row r="6596">
          <cell r="AE6596" t="str">
            <v>03 - PENDIENTE</v>
          </cell>
          <cell r="AP6596">
            <v>70234814</v>
          </cell>
        </row>
        <row r="6597">
          <cell r="AE6597" t="str">
            <v>03 - PENDIENTE</v>
          </cell>
          <cell r="AP6597">
            <v>3022500226212</v>
          </cell>
        </row>
        <row r="6598">
          <cell r="AE6598" t="str">
            <v>03 - PENDIENTE</v>
          </cell>
          <cell r="AP6598">
            <v>1300615764</v>
          </cell>
        </row>
        <row r="6599">
          <cell r="AE6599" t="str">
            <v>03 - PENDIENTE</v>
          </cell>
          <cell r="AP6599">
            <v>171765</v>
          </cell>
        </row>
        <row r="6600">
          <cell r="AE6600" t="str">
            <v>03 - PENDIENTE</v>
          </cell>
          <cell r="AP6600">
            <v>230272251</v>
          </cell>
        </row>
        <row r="6601">
          <cell r="AE6601" t="str">
            <v>03 - PENDIENTE</v>
          </cell>
          <cell r="AP6601">
            <v>1514977</v>
          </cell>
        </row>
        <row r="6602">
          <cell r="AE6602" t="str">
            <v>03 - PENDIENTE</v>
          </cell>
          <cell r="AP6602">
            <v>605484278</v>
          </cell>
        </row>
        <row r="6603">
          <cell r="AE6603" t="str">
            <v>03 - PENDIENTE</v>
          </cell>
          <cell r="AP6603">
            <v>21116798</v>
          </cell>
        </row>
        <row r="6604">
          <cell r="AE6604" t="str">
            <v>03 - PENDIENTE</v>
          </cell>
          <cell r="AP6604">
            <v>1528045</v>
          </cell>
        </row>
        <row r="6605">
          <cell r="AE6605" t="str">
            <v>03 - PENDIENTE</v>
          </cell>
          <cell r="AP6605">
            <v>1000281535</v>
          </cell>
        </row>
        <row r="6606">
          <cell r="AE6606" t="str">
            <v>03 - PENDIENTE</v>
          </cell>
          <cell r="AP6606">
            <v>130837</v>
          </cell>
        </row>
        <row r="6607">
          <cell r="AE6607" t="str">
            <v>03 - PENDIENTE</v>
          </cell>
          <cell r="AP6607">
            <v>130865</v>
          </cell>
        </row>
        <row r="6608">
          <cell r="AE6608" t="str">
            <v>03 - PENDIENTE</v>
          </cell>
          <cell r="AP6608">
            <v>130869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1.673838078706" createdVersion="8" refreshedVersion="8" minRefreshableVersion="3" recordCount="373" xr:uid="{00B2F842-8A92-42C3-AEF1-1CF41E4E300C}">
  <cacheSource type="worksheet">
    <worksheetSource ref="A2:H375" sheet="Reporte"/>
  </cacheSource>
  <cacheFields count="8">
    <cacheField name="RESPONSABLE DE PAGO" numFmtId="0">
      <sharedItems/>
    </cacheField>
    <cacheField name="NRO. POLIZA" numFmtId="0">
      <sharedItems containsMixedTypes="1" containsNumber="1" containsInteger="1" minValue="2738" maxValue="4018003390"/>
    </cacheField>
    <cacheField name="SICS" numFmtId="0">
      <sharedItems/>
    </cacheField>
    <cacheField name="Tablero" numFmtId="0">
      <sharedItems/>
    </cacheField>
    <cacheField name="Observaciones" numFmtId="0">
      <sharedItems containsBlank="1" count="4">
        <s v="1. No está cargado en el SICS-Tablero"/>
        <s v="2. Actualizar la vigencia en el SICS"/>
        <s v="6. Revisar renovación"/>
        <m/>
      </sharedItems>
    </cacheField>
    <cacheField name="Responsable" numFmtId="0">
      <sharedItems containsBlank="1" count="6">
        <s v="Jesus"/>
        <s v="Cesar"/>
        <s v="Briyan"/>
        <s v=""/>
        <s v="Thalia" u="1"/>
        <m u="1"/>
      </sharedItems>
    </cacheField>
    <cacheField name="CATEGORÍA" numFmtId="0">
      <sharedItems/>
    </cacheField>
    <cacheField name="VENCIMI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s v="FITESA PERU S.A.C."/>
    <n v="42982"/>
    <s v="No Encontrado"/>
    <s v="No Encontrado"/>
    <x v="0"/>
    <x v="0"/>
    <s v="FORMACION LABORAL"/>
    <s v="2025-10-31"/>
  </r>
  <r>
    <s v="BALTAZAR Y NICOLAS ASOCIACIÓN CIVIL SIN FINES DE LUCRO"/>
    <n v="1300649048"/>
    <s v="No Encontrado"/>
    <s v="No Encontrado"/>
    <x v="0"/>
    <x v="0"/>
    <s v="VIDALEYRE"/>
    <s v="2025-11-10"/>
  </r>
  <r>
    <s v="TELECYL PERU SAC"/>
    <n v="1300649031"/>
    <s v="No Encontrado"/>
    <s v="No Encontrado"/>
    <x v="0"/>
    <x v="0"/>
    <s v="VIDALEYRE"/>
    <s v="2025-11-13"/>
  </r>
  <r>
    <s v="ELECNOR PERU S.A.C."/>
    <n v="1300047326"/>
    <s v="No Encontrado"/>
    <s v="No Encontrado"/>
    <x v="0"/>
    <x v="0"/>
    <s v="VIDA LEY D.L. 688"/>
    <s v="2025-11-13"/>
  </r>
  <r>
    <s v="LININGS S.A."/>
    <n v="1578645"/>
    <s v="No Encontrado"/>
    <s v="No Encontrado"/>
    <x v="0"/>
    <x v="1"/>
    <s v="WEB VEHICULOS"/>
    <s v="2025-11-24"/>
  </r>
  <r>
    <s v="INTERNATIONAL 4PL CARGO S.A.C."/>
    <n v="1300369041"/>
    <s v="2025-09"/>
    <s v="02 - EN PROCESO"/>
    <x v="1"/>
    <x v="0"/>
    <s v="VIDA LEY D.L. 688"/>
    <s v="2025-09-05"/>
  </r>
  <r>
    <s v="SENCINET LATAM PERU S.A.C."/>
    <n v="1300356735"/>
    <s v="2025-10"/>
    <s v="01 - RENOVADA"/>
    <x v="1"/>
    <x v="0"/>
    <s v="VIDA LEY D.L. 688"/>
    <s v="2025-10-01"/>
  </r>
  <r>
    <s v="BYBLUE PERU SOCIEDAD ANONIMA CERRADA - BYBLUE PERU S.A.C."/>
    <n v="1300615764"/>
    <s v="2025-10"/>
    <s v="01 - RENOVADA"/>
    <x v="1"/>
    <x v="0"/>
    <s v="VIDA LEY D.L. 688"/>
    <s v="2025-10-10"/>
  </r>
  <r>
    <s v="TELECYL PERU SAC"/>
    <n v="65598970"/>
    <s v="2025-10"/>
    <s v="03 - PENDIENTE"/>
    <x v="1"/>
    <x v="0"/>
    <s v="VIDA LEY D.L. 688"/>
    <s v="2025-10-10"/>
  </r>
  <r>
    <s v="LABORATORIO FARMACEUTICO SAN JOAQUIN-ROXFARMA SOCIEDAD ANONIMA"/>
    <n v="44654"/>
    <s v="2025-10"/>
    <s v="03 - PENDIENTE"/>
    <x v="1"/>
    <x v="0"/>
    <s v="FORMACION LABORAL"/>
    <s v="2025-10-17"/>
  </r>
  <r>
    <s v="GILES PONCE CARLOS LEONIDAS"/>
    <n v="74840"/>
    <s v="2025-11"/>
    <s v="03 - PENDIENTE"/>
    <x v="1"/>
    <x v="2"/>
    <s v="SALUD RED MÉDICA"/>
    <s v="2025-11-04"/>
  </r>
  <r>
    <s v="FLOR TORO JOSE LUIS"/>
    <n v="456784"/>
    <s v="2025-11"/>
    <s v="01 - RENOVADA"/>
    <x v="1"/>
    <x v="1"/>
    <s v="WEB VEHICULOS"/>
    <s v="2025-11-15"/>
  </r>
  <r>
    <s v="VIDAL HUAMAN MARCO ANTONIO"/>
    <n v="1472894"/>
    <s v="2025-11"/>
    <s v="01 - RENOVADA"/>
    <x v="1"/>
    <x v="1"/>
    <s v="WEB VEHICULOS"/>
    <s v="2025-11-19"/>
  </r>
  <r>
    <s v="PROYECTA INGENIEROS CIVILES S.A.C."/>
    <n v="47846"/>
    <s v="2025-10"/>
    <s v="02 - EN PROCESO"/>
    <x v="1"/>
    <x v="0"/>
    <s v="FORMACION LABORAL"/>
    <s v="2025-10-31"/>
  </r>
  <r>
    <s v="ENERGIAS FIRMES DEL PERU S.A.C. - EFIPE S.A.C."/>
    <n v="46781"/>
    <s v="2025-10"/>
    <s v="02 - EN PROCESO"/>
    <x v="1"/>
    <x v="0"/>
    <s v="FORMACION LABORAL"/>
    <s v="2025-10-31"/>
  </r>
  <r>
    <s v="VERA OJEDA VICTOR MARTIN"/>
    <n v="1473844"/>
    <s v="2025-11"/>
    <s v="01 - RENOVADA"/>
    <x v="1"/>
    <x v="1"/>
    <s v="WEB VEHICULOS"/>
    <s v="2025-11-29"/>
  </r>
  <r>
    <s v="FLEISHMAN NEGRON JOANNE"/>
    <n v="45666"/>
    <s v="2025-11"/>
    <s v="03 - PENDIENTE"/>
    <x v="1"/>
    <x v="2"/>
    <s v="FULLSALUD"/>
    <s v="2025-12-01"/>
  </r>
  <r>
    <s v="GULMAN ELIAS PAULINA"/>
    <n v="4046"/>
    <s v="2025-11"/>
    <s v="03 - PENDIENTE"/>
    <x v="1"/>
    <x v="2"/>
    <s v="SALUD DE ORO"/>
    <s v="2025-12-04"/>
  </r>
  <r>
    <s v="ADMINISTRA &amp; ETC S.A.C."/>
    <n v="2738"/>
    <s v="2025-11"/>
    <s v="03 - PENDIENTE"/>
    <x v="1"/>
    <x v="2"/>
    <s v="ONCO. INTEGRAL INDIVIDUAL BROKERS"/>
    <s v="2025-12-08"/>
  </r>
  <r>
    <s v="M.G. GROUP CONSULTING S.A.C."/>
    <n v="1389315"/>
    <s v="2025-11"/>
    <s v="01 - RENOVADA"/>
    <x v="1"/>
    <x v="1"/>
    <s v="WEB VEHICULOS"/>
    <s v="2025-12-24"/>
  </r>
  <r>
    <s v="BPZ EXPLORACION &amp; PRODUCCION S.R.L."/>
    <n v="53657"/>
    <s v="2025-11"/>
    <s v="03 - PENDIENTE"/>
    <x v="1"/>
    <x v="2"/>
    <s v="FULLSALUD"/>
    <s v="2025-12-31"/>
  </r>
  <r>
    <s v="BPZ EXPLORACION &amp; PRODUCCION S.R.L."/>
    <n v="53662"/>
    <s v="2025-11"/>
    <s v="03 - PENDIENTE"/>
    <x v="1"/>
    <x v="2"/>
    <s v="FULLSALUD"/>
    <s v="2025-12-31"/>
  </r>
  <r>
    <s v="IMPRESSO GRAFICA S A"/>
    <s v="E0001323"/>
    <s v="2025-10"/>
    <s v="No Encontrado"/>
    <x v="1"/>
    <x v="2"/>
    <s v="EPS"/>
    <s v="2025-11-03"/>
  </r>
  <r>
    <s v="LININGS S.A."/>
    <n v="1581063"/>
    <s v="2025-10"/>
    <s v="01 - RENOVADA"/>
    <x v="1"/>
    <x v="1"/>
    <s v="WEB VEHICULOS"/>
    <s v="2025-11-24"/>
  </r>
  <r>
    <s v="SEMINARIO Y CIA S.A.B. S. A."/>
    <n v="44936720"/>
    <s v="2025-10"/>
    <s v="03 - PENDIENTE"/>
    <x v="2"/>
    <x v="0"/>
    <s v="VIDA LEY D.L. 688"/>
    <s v="2025-07-11"/>
  </r>
  <r>
    <s v="XIAOMI TECHNOLOGIES PERU S.A.C."/>
    <n v="48411"/>
    <s v="2025-10"/>
    <s v="03 - PENDIENTE"/>
    <x v="2"/>
    <x v="0"/>
    <s v="FORMACION LABORAL"/>
    <s v="2025-09-25"/>
  </r>
  <r>
    <s v="URRUTIA NUÑEZ PAOLA PILAR"/>
    <n v="1469526"/>
    <s v="2025-11"/>
    <s v="No Encontrado"/>
    <x v="2"/>
    <x v="1"/>
    <s v="WEB VEHICULOS"/>
    <s v="2025-09-18"/>
  </r>
  <r>
    <s v="ISLA HERRERA HARRY"/>
    <n v="1469534"/>
    <s v="2025-11"/>
    <s v="03 - PENDIENTE"/>
    <x v="2"/>
    <x v="1"/>
    <s v="WEB VEHICULOS"/>
    <s v="2025-10-11"/>
  </r>
  <r>
    <s v="AGUAS  DE  BAYOVAR S.A.C."/>
    <n v="251980"/>
    <s v="2025-11"/>
    <s v="01 - RENOVADA"/>
    <x v="3"/>
    <x v="3"/>
    <s v="VIDA LEY D.L. 688"/>
    <s v="2025-11-01"/>
  </r>
  <r>
    <s v="TALLERES LA LEGUA SOCIEDAD ANONIMA CERRADA - TALLERES LA LEGUA S.A.C."/>
    <n v="93965515"/>
    <s v="2025-11"/>
    <s v="03 - PENDIENTE"/>
    <x v="3"/>
    <x v="3"/>
    <s v="VIDA LEY D.L. 688"/>
    <s v="2025-11-01"/>
  </r>
  <r>
    <s v="CLUB SPORTING CRISTAL S.A."/>
    <s v="E0002259"/>
    <s v="No Encontrado"/>
    <s v="05 - ANULADA EN VIGENCIA"/>
    <x v="3"/>
    <x v="3"/>
    <s v="EPS"/>
    <s v="2023-05-29"/>
  </r>
  <r>
    <s v="CAMPARI PERU SOCIEDAD ANONIMA CERRADA - CAMPARI PERU S.A.C."/>
    <s v="E0029631"/>
    <s v="No Encontrado"/>
    <s v="04 - NO RENOVADA"/>
    <x v="3"/>
    <x v="3"/>
    <s v="EPS"/>
    <s v="2023-10-02"/>
  </r>
  <r>
    <s v="CIMER INGENIEROS SAC"/>
    <s v="S0350529"/>
    <s v="No Encontrado"/>
    <s v="04 - NO RENOVADA"/>
    <x v="3"/>
    <x v="3"/>
    <s v="S.C.T.R. - SALUD"/>
    <s v="2024-12-02"/>
  </r>
  <r>
    <s v="DIGITAL BUSINESS PERU S.A.C."/>
    <s v="E0004449"/>
    <s v="No Encontrado"/>
    <s v="05 - ANULADA EN VIGENCIA"/>
    <x v="3"/>
    <x v="3"/>
    <s v="EPS"/>
    <s v="2025-02-03"/>
  </r>
  <r>
    <s v="BELTRAN BYRNE GUILLERMO"/>
    <s v="E0027232"/>
    <s v="No Encontrado"/>
    <s v="05 - ANULADA EN VIGENCIA"/>
    <x v="3"/>
    <x v="3"/>
    <s v="EPS"/>
    <s v="2025-05-07"/>
  </r>
  <r>
    <s v="CONTRERAS IVARCENA EDUARDO DIEGO"/>
    <n v="1483595"/>
    <s v="2026-01"/>
    <s v="01 - RENOVADA"/>
    <x v="3"/>
    <x v="3"/>
    <s v="WEB VEHICULOS"/>
    <s v="2025-05-28"/>
  </r>
  <r>
    <s v="BRAVO GARCIA BELEN SARAI"/>
    <n v="67765"/>
    <s v="2026-01"/>
    <s v="01 - RENOVADA"/>
    <x v="3"/>
    <x v="3"/>
    <s v="SALUD RED PREFERENTE"/>
    <s v="2025-07-28"/>
  </r>
  <r>
    <s v="INMOBILIARIA EGP S.A.C."/>
    <n v="1544218"/>
    <s v="2026-04"/>
    <s v="01 - RENOVADA"/>
    <x v="3"/>
    <x v="3"/>
    <s v="WEB VEHICULOS"/>
    <s v="2025-07-29"/>
  </r>
  <r>
    <s v="TEGA INDUSTRIES PERU S.A.C."/>
    <n v="48599"/>
    <s v="2026-03"/>
    <s v="03 - PENDIENTE"/>
    <x v="3"/>
    <x v="3"/>
    <s v="FORMACION LABORAL"/>
    <s v="2025-07-31"/>
  </r>
  <r>
    <s v="DIGITAL BUSINESS PERU S.A.C."/>
    <n v="67289811"/>
    <s v="2026-03"/>
    <s v="05 - ANULADA EN VIGENCIA"/>
    <x v="3"/>
    <x v="3"/>
    <s v="VIDA LEY D.L. 688"/>
    <s v="2025-08-01"/>
  </r>
  <r>
    <s v="VARAS RUIZ LUCIA MIREILLE"/>
    <s v="E0035204"/>
    <s v="No Encontrado"/>
    <s v="04 - NO RENOVADA"/>
    <x v="3"/>
    <x v="3"/>
    <s v="EPS"/>
    <s v="2025-08-14"/>
  </r>
  <r>
    <s v="DIGITAL VENTURES S.A.C."/>
    <n v="1300364536"/>
    <s v="2025-12"/>
    <s v="01 - RENOVADA"/>
    <x v="3"/>
    <x v="3"/>
    <s v="VIDA LEY D.L. 688"/>
    <s v="2025-08-23"/>
  </r>
  <r>
    <s v="GONZALES SALAZAR JUAN MANUEL"/>
    <n v="1443523"/>
    <s v="2026-07"/>
    <s v="01 - RENOVADA"/>
    <x v="3"/>
    <x v="3"/>
    <s v="WEB VEHICULOS"/>
    <s v="2025-08-25"/>
  </r>
  <r>
    <s v="GESTION A1 S.A.C. - GA1 S.A.C."/>
    <s v="E0033183"/>
    <s v="2025-12"/>
    <s v="03 - PENDIENTE"/>
    <x v="3"/>
    <x v="3"/>
    <s v="EPS"/>
    <s v="2025-09-01"/>
  </r>
  <r>
    <s v="XIAOMI TECHNOLOGIES PERU S.A.C."/>
    <n v="54590"/>
    <s v="2026-09"/>
    <s v="03 - PENDIENTE"/>
    <x v="3"/>
    <x v="3"/>
    <s v="FULLSALUD"/>
    <s v="2025-09-04"/>
  </r>
  <r>
    <s v="XIAOMI RETAIL PERU S.A.C."/>
    <n v="54605"/>
    <s v="2026-09"/>
    <s v="03 - PENDIENTE"/>
    <x v="3"/>
    <x v="3"/>
    <s v="FULLSALUD"/>
    <s v="2025-09-04"/>
  </r>
  <r>
    <s v="VALEI PRODUCCIONES E.I.R.L"/>
    <n v="69523"/>
    <s v="2026-02"/>
    <s v="01 - RENOVADA"/>
    <x v="3"/>
    <x v="3"/>
    <s v="SALUD RED MÉDICA"/>
    <s v="2025-09-04"/>
  </r>
  <r>
    <s v="UREÑA YEPEZ JENNY MARIA"/>
    <n v="70152"/>
    <s v="2026-04"/>
    <s v="01 - RENOVADA"/>
    <x v="3"/>
    <x v="3"/>
    <s v="SALUD RED MÉDICA"/>
    <s v="2025-09-04"/>
  </r>
  <r>
    <s v="UREÑA YEPEZ JENNY MARIA"/>
    <n v="50846"/>
    <s v="2026-09"/>
    <s v="01 - RENOVADA"/>
    <x v="3"/>
    <x v="3"/>
    <s v="FULLSALUD"/>
    <s v="2025-09-06"/>
  </r>
  <r>
    <s v="ARBULU SECLEN EDUARDO ALFREDO"/>
    <n v="102050"/>
    <s v="2026-02"/>
    <s v="01 - RENOVADA"/>
    <x v="3"/>
    <x v="3"/>
    <s v="SALUD RED MÉDICA"/>
    <s v="2025-09-10"/>
  </r>
  <r>
    <s v="CALLE LOS JARDINES NUMERO 109-117 URBANIZACIÓN CLUB GOLF LOS INCAS SANTIAGO DE SURCO"/>
    <n v="1300620053"/>
    <s v="2026-07"/>
    <s v="01 - RENOVADA"/>
    <x v="3"/>
    <x v="3"/>
    <s v="VIDA LEY D.L. 688"/>
    <s v="2025-09-11"/>
  </r>
  <r>
    <s v="CELI MORALES DANIEL ALEXIS"/>
    <n v="768638"/>
    <s v="2026-06"/>
    <s v="01 - RENOVADA"/>
    <x v="3"/>
    <x v="3"/>
    <s v="WEB VEHICULOS"/>
    <s v="2025-09-12"/>
  </r>
  <r>
    <s v="ESPINOSA SAYAN MARIA DEL ROSARIO"/>
    <n v="1532759"/>
    <s v="2026-06"/>
    <s v="01 - RENOVADA"/>
    <x v="3"/>
    <x v="3"/>
    <s v="WEB VEHICULOS"/>
    <s v="2025-09-12"/>
  </r>
  <r>
    <s v="VALVERDE VALVERDE ALEXANDER GUILLERMO"/>
    <n v="5258"/>
    <s v="2026-08"/>
    <s v="01 - RENOVADA"/>
    <x v="3"/>
    <x v="3"/>
    <s v="ONCO. INTEGRAL INDIVIDUAL BROKERS"/>
    <s v="2025-09-14"/>
  </r>
  <r>
    <s v="ANGELES PASCO ENZO ANDRE"/>
    <s v="E0034069"/>
    <s v="2026-04"/>
    <s v="01 - RENOVADA"/>
    <x v="3"/>
    <x v="3"/>
    <s v="EPS"/>
    <s v="2025-09-15"/>
  </r>
  <r>
    <s v="LLONA GARCIA MIRO PABLO EMILIO"/>
    <n v="1512436"/>
    <s v="2026-04"/>
    <s v="01 - RENOVADA"/>
    <x v="3"/>
    <x v="3"/>
    <s v="WEB VEHICULOS"/>
    <s v="2025-09-17"/>
  </r>
  <r>
    <s v="XIAOMI TECHNOLOGIES PERU S.A.C."/>
    <n v="54624"/>
    <s v="2026-09"/>
    <s v="No Encontrado"/>
    <x v="3"/>
    <x v="3"/>
    <s v="FULLSALUD"/>
    <s v="2025-09-18"/>
  </r>
  <r>
    <s v="CONSORCIO EJECUTOR CHANCHAMAYO II"/>
    <n v="1300173825"/>
    <s v="2025-11"/>
    <s v="No Encontrado"/>
    <x v="3"/>
    <x v="3"/>
    <s v="VIDA LEY D.L. 688"/>
    <s v="2025-11-01"/>
  </r>
  <r>
    <s v="DIGITAL VENTURES S.A.C."/>
    <s v="E0038653"/>
    <s v="2026-08"/>
    <s v="01 - RENOVADA"/>
    <x v="3"/>
    <x v="3"/>
    <s v="EPS"/>
    <s v="2025-09-22"/>
  </r>
  <r>
    <s v="ESPINOZA CANAL PABLO SANTIAGO"/>
    <n v="36051"/>
    <s v="2026-06"/>
    <s v="01 - RENOVADA"/>
    <x v="3"/>
    <x v="3"/>
    <s v="SALUD RED PREFERENTE"/>
    <s v="2025-09-25"/>
  </r>
  <r>
    <s v="SEMINARIO Y CIA S.A.B. S. A."/>
    <n v="44936820"/>
    <s v="2026-06"/>
    <s v="03 - PENDIENTE"/>
    <x v="3"/>
    <x v="3"/>
    <s v="VIDA LEY 2DA CAPA"/>
    <s v="2025-09-26"/>
  </r>
  <r>
    <s v="BENDEZU MESCUA MELISSA"/>
    <n v="39658"/>
    <s v="2026-02"/>
    <s v="01 - RENOVADA"/>
    <x v="3"/>
    <x v="3"/>
    <s v="SALUD RED PREFERENTE"/>
    <s v="2025-09-27"/>
  </r>
  <r>
    <s v="BUSINESS ANALYTICS S.A.C."/>
    <n v="1300376784"/>
    <s v="2025-12"/>
    <s v="01 - RENOVADA"/>
    <x v="3"/>
    <x v="3"/>
    <s v="VIDA LEY D.L. 688"/>
    <s v="2025-09-28"/>
  </r>
  <r>
    <s v="SOCIEDAD AGRICOLA YOLANDA PATRICIA S.A.C."/>
    <n v="94445894"/>
    <s v="2025-11"/>
    <s v="03 - PENDIENTE"/>
    <x v="3"/>
    <x v="3"/>
    <s v="VIDA LEY D.L. 688"/>
    <s v="2025-11-02"/>
  </r>
  <r>
    <s v="ACRES SOCIEDAD ADMINISTRADORA DE FONDOS DE INVERSION S.A. - ACRES SAFI S.A."/>
    <s v="E0028123"/>
    <s v="2026-04"/>
    <s v="01 - RENOVADA"/>
    <x v="3"/>
    <x v="3"/>
    <s v="EPS"/>
    <s v="2025-10-01"/>
  </r>
  <r>
    <s v="ACRES SOCIEDAD AGENTE DE BOLSA S.A."/>
    <s v="E0022240"/>
    <s v="2026-04"/>
    <s v="01 - RENOVADA"/>
    <x v="3"/>
    <x v="3"/>
    <s v="EPS"/>
    <s v="2025-10-01"/>
  </r>
  <r>
    <s v="INSTITUTO DE HORTICULTURA TERAPEUTICA S.A.C."/>
    <s v="E0037543"/>
    <s v="2026-03"/>
    <s v="01 - RENOVADA"/>
    <x v="3"/>
    <x v="3"/>
    <s v="EPS"/>
    <s v="2025-10-01"/>
  </r>
  <r>
    <s v="CONEXIS GROUP SOCIEDAD ANONIMA CERRADA"/>
    <s v="E0028118"/>
    <s v="2026-08"/>
    <s v="01 - RENOVADA"/>
    <x v="3"/>
    <x v="3"/>
    <s v="EPS"/>
    <s v="2025-10-01"/>
  </r>
  <r>
    <s v="PATRIMONIO EN FIDEICOMISO - D. LEG. N°. 861 NO INSCRITO EN LA SMV DIRIGIDO A INVERSIONISTAS INSTIT"/>
    <s v="E0035134"/>
    <s v="2026-03"/>
    <s v="01 - RENOVADA"/>
    <x v="3"/>
    <x v="3"/>
    <s v="EPS"/>
    <s v="2025-10-01"/>
  </r>
  <r>
    <s v="ACRES FINANCE S.A."/>
    <s v="E0004928"/>
    <s v="2026-04"/>
    <s v="01 - RENOVADA"/>
    <x v="3"/>
    <x v="3"/>
    <s v="EPS"/>
    <s v="2025-10-01"/>
  </r>
  <r>
    <s v="ACRES SOCIEDAD TITULIZADORA S.A."/>
    <s v="E0020911"/>
    <s v="2026-04"/>
    <s v="01 - RENOVADA"/>
    <x v="3"/>
    <x v="3"/>
    <s v="EPS"/>
    <s v="2025-10-01"/>
  </r>
  <r>
    <s v="AC TOURS S.A.C."/>
    <s v="E0012974"/>
    <s v="2026-08"/>
    <s v="01 - RENOVADA"/>
    <x v="3"/>
    <x v="3"/>
    <s v="EPS"/>
    <s v="2025-10-01"/>
  </r>
  <r>
    <s v="BUSINESS ANALYTICS S.A.C."/>
    <s v="E0030659"/>
    <s v="2025-12"/>
    <s v="03 - PENDIENTE"/>
    <x v="3"/>
    <x v="3"/>
    <s v="EPS"/>
    <s v="2025-10-01"/>
  </r>
  <r>
    <s v="LABORATORIO FARMACEUTICO SAN JOAQUIN-ROXFARMA SOCIEDAD ANONIMA"/>
    <s v="E0020619"/>
    <s v="2026-08"/>
    <s v="01 - RENOVADA"/>
    <x v="3"/>
    <x v="3"/>
    <s v="EPS"/>
    <s v="2025-10-01"/>
  </r>
  <r>
    <s v="PROYECTA INGENIEROS CIVILES S.A.C."/>
    <s v="E0003294"/>
    <s v="2026-04"/>
    <s v="01 - RENOVADA"/>
    <x v="3"/>
    <x v="3"/>
    <s v="EPS"/>
    <s v="2025-10-01"/>
  </r>
  <r>
    <s v="MENDEZ GRIMALDI BRUNELLA CRISTINA"/>
    <n v="1488144"/>
    <s v="2026-01"/>
    <s v="01 - RENOVADA"/>
    <x v="3"/>
    <x v="3"/>
    <s v="WEB VEHICULOS"/>
    <s v="2025-10-01"/>
  </r>
  <r>
    <s v="PASTOR MATTA DE ACEVEDO CARMEN ROSA"/>
    <n v="4018003390"/>
    <s v="2026-04"/>
    <s v="01 - RENOVADA"/>
    <x v="3"/>
    <x v="3"/>
    <s v="ONCOLÓGICO RIMAC"/>
    <s v="2025-10-01"/>
  </r>
  <r>
    <s v="BORJA MEJIA EDWARD"/>
    <n v="55748"/>
    <s v="2026-04"/>
    <s v="01 - RENOVADA"/>
    <x v="3"/>
    <x v="3"/>
    <s v="SALUD RED MÉDICA"/>
    <s v="2025-10-01"/>
  </r>
  <r>
    <s v="ALBUJAR CAMACHO JUAN CARLOS FERNANDO"/>
    <n v="62044"/>
    <s v="No Encontrado"/>
    <s v="05 - ANULADA EN VIGENCIA"/>
    <x v="3"/>
    <x v="3"/>
    <s v="SALUD RED PREFERENTE"/>
    <s v="2025-10-01"/>
  </r>
  <r>
    <s v="ALBUJAR CAMACHO JUAN CARLOS FERNANDO"/>
    <n v="90476"/>
    <s v="No Encontrado"/>
    <s v="05 - ANULADA EN VIGENCIA"/>
    <x v="3"/>
    <x v="3"/>
    <s v="SALUD RED MÉDICA"/>
    <s v="2025-10-01"/>
  </r>
  <r>
    <s v="FLORES CALDERON VALERIA IVETTE"/>
    <n v="79146"/>
    <s v="2026-07"/>
    <s v="01 - RENOVADA"/>
    <x v="3"/>
    <x v="3"/>
    <s v="SALUD RED MÉDICA"/>
    <s v="2025-10-01"/>
  </r>
  <r>
    <s v="SAN MARTIN NAVEA DE MUJICA MARIA EUGENIA"/>
    <n v="67615"/>
    <s v="2026-09"/>
    <s v="01 - RENOVADA"/>
    <x v="3"/>
    <x v="3"/>
    <s v="SALUD RED MÉDICA"/>
    <s v="2025-10-01"/>
  </r>
  <r>
    <s v="BELTRAN BYRNE GUILLERMO"/>
    <n v="74959"/>
    <s v="2026-07"/>
    <s v="01 - RENOVADA"/>
    <x v="3"/>
    <x v="3"/>
    <s v="SALUD RED PREFERENTE"/>
    <s v="2025-10-01"/>
  </r>
  <r>
    <s v="PESANTES PEREZ SARA MILAGROS"/>
    <n v="45693"/>
    <s v="2026-09"/>
    <s v="01 - RENOVADA"/>
    <x v="3"/>
    <x v="3"/>
    <s v="SALUD RED MEDICA F F V V"/>
    <s v="2025-10-01"/>
  </r>
  <r>
    <s v="XIAOMI TECHNOLOGIES PERU S.A.C."/>
    <n v="1300359823"/>
    <s v="No Encontrado"/>
    <s v="03 - PENDIENTE"/>
    <x v="3"/>
    <x v="3"/>
    <s v="VIDA LEY D.L. 688"/>
    <s v="2025-10-02"/>
  </r>
  <r>
    <s v="PICKMAN SANCHEZ ENA DENISSE"/>
    <n v="1563417"/>
    <s v="2026-09"/>
    <s v="01 - RENOVADA"/>
    <x v="3"/>
    <x v="3"/>
    <s v="WEB VEHICULOS"/>
    <s v="2025-10-03"/>
  </r>
  <r>
    <s v="VALEI PRODUCCIONES E.I.R.L"/>
    <n v="4664"/>
    <s v="2026-02"/>
    <s v="01 - RENOVADA"/>
    <x v="3"/>
    <x v="3"/>
    <s v="SALUD DE ORO"/>
    <s v="2025-10-04"/>
  </r>
  <r>
    <s v="PORTILLA LESCANO FERNANDO LUIS"/>
    <n v="39766"/>
    <s v="2026-05"/>
    <s v="01 - RENOVADA"/>
    <x v="3"/>
    <x v="3"/>
    <s v="SALUD RED MEDICA F F V V"/>
    <s v="2025-10-04"/>
  </r>
  <r>
    <s v="PORTILLA LESCANO FERNANDO LUIS"/>
    <n v="48631"/>
    <s v="2026-05"/>
    <s v="01 - RENOVADA"/>
    <x v="3"/>
    <x v="3"/>
    <s v="SALUD RED MEDICA F F V V"/>
    <s v="2025-10-04"/>
  </r>
  <r>
    <s v="DE RIVERO RUIZ MANUEL IGNACIO ALFONSO"/>
    <n v="91686"/>
    <s v="2026-09"/>
    <s v="01 - RENOVADA"/>
    <x v="3"/>
    <x v="3"/>
    <s v="SALUD RED MÉDICA"/>
    <s v="2025-10-04"/>
  </r>
  <r>
    <s v="XIAOMI RETAIL PERU S.A.C."/>
    <n v="54674"/>
    <s v="2026-10"/>
    <s v="No Encontrado"/>
    <x v="3"/>
    <x v="3"/>
    <s v="FULLSALUD"/>
    <s v="2025-10-04"/>
  </r>
  <r>
    <s v="ESPINOSA SEMINARIO CLAUDIA MARIA"/>
    <n v="49303"/>
    <s v="2026-08"/>
    <s v="01 - RENOVADA"/>
    <x v="3"/>
    <x v="3"/>
    <s v="FULLSALUD"/>
    <s v="2025-10-07"/>
  </r>
  <r>
    <s v="YANAY FUJIHARA PAOLA"/>
    <n v="29547"/>
    <s v="2026-01"/>
    <s v="01 - RENOVADA"/>
    <x v="3"/>
    <x v="3"/>
    <s v="SALUD RED PREFERENTE"/>
    <s v="2025-10-08"/>
  </r>
  <r>
    <s v="TRANSLIGRA S.A.C."/>
    <n v="47444"/>
    <s v="2026-05"/>
    <s v="01 - RENOVADA"/>
    <x v="3"/>
    <x v="3"/>
    <s v="FULLSALUD"/>
    <s v="2025-10-08"/>
  </r>
  <r>
    <s v="VALLE MAS ORLANDO"/>
    <n v="64562"/>
    <s v="2026-06"/>
    <s v="01 - RENOVADA"/>
    <x v="3"/>
    <x v="3"/>
    <s v="SALUD RED MÉDICA"/>
    <s v="2025-10-08"/>
  </r>
  <r>
    <s v="BECK ESCALANTE VALERIA"/>
    <n v="1436701"/>
    <s v="2026-07"/>
    <s v="01 - RENOVADA"/>
    <x v="3"/>
    <x v="3"/>
    <s v="WEB VEHICULOS"/>
    <s v="2025-10-08"/>
  </r>
  <r>
    <s v="SALOMON POMAR JORGE GUILLERMO"/>
    <n v="44125"/>
    <s v="2026-07"/>
    <s v="01 - RENOVADA"/>
    <x v="3"/>
    <x v="3"/>
    <s v="SALUD RED MÉDICA"/>
    <s v="2025-10-08"/>
  </r>
  <r>
    <s v="ESCOBEDO RIVERA DE FERNANDEZ MIRTHA MILAGROS"/>
    <n v="44056"/>
    <s v="2026-10"/>
    <s v="01 - RENOVADA"/>
    <x v="3"/>
    <x v="3"/>
    <s v="FULLSALUD"/>
    <s v="2025-10-08"/>
  </r>
  <r>
    <s v="QUIROGA MENDOZA HOMERO"/>
    <n v="1574721"/>
    <s v="2026-10"/>
    <s v="01 - RENOVADA"/>
    <x v="3"/>
    <x v="3"/>
    <s v="WEB VEHICULOS"/>
    <s v="2025-10-08"/>
  </r>
  <r>
    <s v="ROSELLO VARGAS ZOILA MARIA DEL PILAR"/>
    <n v="1529092"/>
    <s v="2026-05"/>
    <s v="01 - RENOVADA"/>
    <x v="3"/>
    <x v="3"/>
    <s v="WEB VEHICULOS"/>
    <s v="2025-10-09"/>
  </r>
  <r>
    <s v="XIAOMI RETAIL PERU S.A.C."/>
    <n v="1300638450"/>
    <s v="2026-03"/>
    <s v="03 - PENDIENTE"/>
    <x v="3"/>
    <x v="3"/>
    <s v="VIDALEYRE"/>
    <s v="2025-10-09"/>
  </r>
  <r>
    <s v="LOPEZ VALVERDE WILDO GILBERTO"/>
    <n v="1414886"/>
    <s v="2026-04"/>
    <s v="01 - RENOVADA"/>
    <x v="3"/>
    <x v="3"/>
    <s v="WEB VEHICULOS"/>
    <s v="2025-10-09"/>
  </r>
  <r>
    <s v="BASSO GUARDIA GUSTAVO MARCELO"/>
    <n v="71540"/>
    <s v="2026-06"/>
    <s v="01 - RENOVADA"/>
    <x v="3"/>
    <x v="3"/>
    <s v="SALUD RED MÉDICA"/>
    <s v="2025-10-09"/>
  </r>
  <r>
    <s v="DIAZ OLIVERO LUIS FRANCISCO"/>
    <n v="512687"/>
    <s v="2026-10"/>
    <s v="01 - RENOVADA"/>
    <x v="3"/>
    <x v="3"/>
    <s v="DOMICILIARIO RIMAC (EX CASASEGURA)"/>
    <s v="2025-10-09"/>
  </r>
  <r>
    <s v="FLORES HUIMAN KARINA LUZ"/>
    <n v="1547935"/>
    <s v="2026-08"/>
    <s v="01 - RENOVADA"/>
    <x v="3"/>
    <x v="3"/>
    <s v="WEB VEHICULOS"/>
    <s v="2025-10-10"/>
  </r>
  <r>
    <s v="GRAÑA SARMIENTO RAFAEL EDUARDO"/>
    <n v="1547936"/>
    <s v="2026-08"/>
    <s v="01 - RENOVADA"/>
    <x v="3"/>
    <x v="3"/>
    <s v="WEB VEHICULOS"/>
    <s v="2025-10-11"/>
  </r>
  <r>
    <s v="AYALA MARTINEZ SARA ESTHER"/>
    <s v="E0028438"/>
    <s v="2026-02"/>
    <s v="01 - RENOVADA"/>
    <x v="3"/>
    <x v="3"/>
    <s v="EPS"/>
    <s v="2025-10-13"/>
  </r>
  <r>
    <s v="CUMPA EXEBIO JORGE DANIEL"/>
    <s v="E0026804"/>
    <s v="2026-02"/>
    <s v="01 - RENOVADA"/>
    <x v="3"/>
    <x v="3"/>
    <s v="EPS"/>
    <s v="2025-10-13"/>
  </r>
  <r>
    <s v="GARNIQUE SANCHEZ DANNY IVAN"/>
    <n v="1509990"/>
    <s v="2026-04"/>
    <s v="01 - RENOVADA"/>
    <x v="3"/>
    <x v="3"/>
    <s v="WEB VEHICULOS"/>
    <s v="2025-10-14"/>
  </r>
  <r>
    <s v="CUADROS ANTUNEZ DE MAYOLO VICTOR CIRO JOSE"/>
    <n v="1488856"/>
    <s v="2026-01"/>
    <s v="01 - RENOVADA"/>
    <x v="3"/>
    <x v="3"/>
    <s v="WEB VEHICULOS"/>
    <s v="2025-10-15"/>
  </r>
  <r>
    <s v="ALCANTARA QUISPE TERESA DEL PILAR"/>
    <n v="1493794"/>
    <s v="2026-01"/>
    <s v="01 - RENOVADA"/>
    <x v="3"/>
    <x v="3"/>
    <s v="WEB VEHICULOS"/>
    <s v="2025-10-15"/>
  </r>
  <r>
    <s v="COOK VIZURRAGA KETTY AURORA"/>
    <n v="1416594"/>
    <s v="2026-03"/>
    <s v="01 - RENOVADA"/>
    <x v="3"/>
    <x v="3"/>
    <s v="WEB VEHICULOS"/>
    <s v="2025-10-15"/>
  </r>
  <r>
    <s v="YEP CHANG LILIANA DORA"/>
    <n v="1538612"/>
    <s v="2026-07"/>
    <s v="01 - RENOVADA"/>
    <x v="3"/>
    <x v="3"/>
    <s v="WEB VEHICULOS"/>
    <s v="2025-10-15"/>
  </r>
  <r>
    <s v="LOPEZ PROAÑO LUIS LEONCIO ISRAEL"/>
    <n v="1463498"/>
    <s v="2026-10"/>
    <s v="01 - RENOVADA"/>
    <x v="3"/>
    <x v="3"/>
    <s v="WEB VEHICULOS"/>
    <s v="2025-10-15"/>
  </r>
  <r>
    <s v="FLORES TABOADA DE ROJAS FIORELLA GIOVANNA"/>
    <n v="1482897"/>
    <s v="2025-12"/>
    <s v="03 - PENDIENTE"/>
    <x v="3"/>
    <x v="3"/>
    <s v="WEB VEHICULOS"/>
    <s v="2025-10-16"/>
  </r>
  <r>
    <s v="LEON LEIVA CLARA LUZ"/>
    <n v="1491908"/>
    <s v="2026-02"/>
    <s v="01 - RENOVADA"/>
    <x v="3"/>
    <x v="3"/>
    <s v="WEB VEHICULOS"/>
    <s v="2025-10-16"/>
  </r>
  <r>
    <s v="LA CRUZ VICENTE DENISSE MILAGROS"/>
    <n v="30507"/>
    <s v="2026-03"/>
    <s v="01 - RENOVADA"/>
    <x v="3"/>
    <x v="3"/>
    <s v="SALUD FLEXIBLE"/>
    <s v="2025-10-16"/>
  </r>
  <r>
    <s v="GONZALES VARGAS HANS MICHAEL"/>
    <n v="35522"/>
    <s v="2026-05"/>
    <s v="01 - RENOVADA"/>
    <x v="3"/>
    <x v="3"/>
    <s v="SALUD RED PREFERENTE"/>
    <s v="2025-10-16"/>
  </r>
  <r>
    <s v="GUERRERO RIVERA MARTHA GABRIELA"/>
    <n v="1536831"/>
    <s v="2026-06"/>
    <s v="01 - RENOVADA"/>
    <x v="3"/>
    <x v="3"/>
    <s v="WEB VEHICULOS"/>
    <s v="2025-10-16"/>
  </r>
  <r>
    <s v="MANCO FERNANDEZ RENZO JESUS"/>
    <n v="1484358"/>
    <s v="2025-12"/>
    <s v="03 - PENDIENTE"/>
    <x v="3"/>
    <x v="3"/>
    <s v="WEB VEHICULOS"/>
    <s v="2025-10-17"/>
  </r>
  <r>
    <s v="SACO ORTEGA MERCEDES DEL PILAR"/>
    <n v="1511273"/>
    <s v="2026-04"/>
    <s v="01 - RENOVADA"/>
    <x v="3"/>
    <x v="3"/>
    <s v="WEB VEHICULOS"/>
    <s v="2025-10-17"/>
  </r>
  <r>
    <s v="RIDOUTT AGNOLI ALEXANDRE ROBERT"/>
    <n v="84117"/>
    <s v="2026-06"/>
    <s v="01 - RENOVADA"/>
    <x v="3"/>
    <x v="3"/>
    <s v="SALUD RED MÉDICA"/>
    <s v="2025-10-17"/>
  </r>
  <r>
    <s v="KONSULTYX E.I.R.L."/>
    <n v="69976"/>
    <s v="2026-06"/>
    <s v="01 - RENOVADA"/>
    <x v="3"/>
    <x v="3"/>
    <s v="SALUD RED PREFERENTE"/>
    <s v="2025-10-17"/>
  </r>
  <r>
    <s v="CASTRO SANTILLAN MANUEL AUGUSTO"/>
    <n v="501082"/>
    <s v="2033-07"/>
    <s v="03 - PENDIENTE"/>
    <x v="3"/>
    <x v="3"/>
    <s v="ACCIDENTES SEGURO VIDA B"/>
    <s v="2025-10-17"/>
  </r>
  <r>
    <s v="MACARA-CHVILI MAZZINI MICHEL"/>
    <n v="520443"/>
    <s v="2026-07"/>
    <s v="01 - RENOVADA"/>
    <x v="3"/>
    <x v="3"/>
    <s v="DOMICILIARIO RIMAC (EX CASASEGURA)"/>
    <s v="2025-10-17"/>
  </r>
  <r>
    <s v="PGZU SOCIEDAD COMERCIAL DE RESPONSABILIDAD LIMITADA - PGZU SRL"/>
    <n v="1573433"/>
    <s v="2026-09"/>
    <s v="No Encontrado"/>
    <x v="3"/>
    <x v="3"/>
    <s v="WEB VEHICULOS"/>
    <s v="2025-10-17"/>
  </r>
  <r>
    <s v="XIAOMI TECHNOLOGIES PERU S.A.C."/>
    <n v="54608"/>
    <s v="2026-09"/>
    <s v="No Encontrado"/>
    <x v="3"/>
    <x v="3"/>
    <s v="FULLSALUD"/>
    <s v="2025-10-17"/>
  </r>
  <r>
    <s v="SUCESION BERNARDO COTLEAR BOYD S.A.C."/>
    <n v="1300633219"/>
    <s v="2026-08"/>
    <s v="03 - PENDIENTE"/>
    <x v="3"/>
    <x v="3"/>
    <s v="VIDALEYRE"/>
    <s v="2025-10-17"/>
  </r>
  <r>
    <s v="MARTINEZ ATENCIO JOSE MARIANO ELEAZAR"/>
    <n v="1438544"/>
    <s v="2026-06"/>
    <s v="01 - RENOVADA"/>
    <x v="3"/>
    <x v="3"/>
    <s v="WEB VEHICULOS"/>
    <s v="2025-10-18"/>
  </r>
  <r>
    <s v="ROMERO TOLEDO VICTOR GIUSSEPPE"/>
    <n v="1547931"/>
    <s v="2026-08"/>
    <s v="01 - RENOVADA"/>
    <x v="3"/>
    <x v="3"/>
    <s v="WEB VEHICULOS"/>
    <s v="2025-10-18"/>
  </r>
  <r>
    <s v="MEDIC YEM SALUD OCUPACIONAL S.A.C."/>
    <n v="1573365"/>
    <s v="2026-10"/>
    <s v="01 - RENOVADA"/>
    <x v="3"/>
    <x v="3"/>
    <s v="WEB VEHICULOS"/>
    <s v="2025-10-18"/>
  </r>
  <r>
    <s v="SECLEN RAMOS TANY SOL"/>
    <n v="1571216"/>
    <s v="2026-09"/>
    <s v="01 - RENOVADA"/>
    <x v="3"/>
    <x v="3"/>
    <s v="WEB VEHICULOS"/>
    <s v="2025-10-18"/>
  </r>
  <r>
    <s v="BRIGNETI BADIOLA ROCIO MARIA DE FATIMA"/>
    <n v="95958"/>
    <s v="2026-04"/>
    <s v="01 - RENOVADA"/>
    <x v="3"/>
    <x v="3"/>
    <s v="SALUD RED MÉDICA"/>
    <s v="2025-10-18"/>
  </r>
  <r>
    <s v="HARTEN WOODMAN EDUARDO"/>
    <n v="1512809"/>
    <s v="2026-03"/>
    <s v="01 - RENOVADA"/>
    <x v="3"/>
    <x v="3"/>
    <s v="WEB VEHICULOS"/>
    <s v="2025-10-18"/>
  </r>
  <r>
    <s v="BORJA MEJIA EDWARD"/>
    <n v="1417349"/>
    <s v="2026-03"/>
    <s v="01 - RENOVADA"/>
    <x v="3"/>
    <x v="3"/>
    <s v="WEB VEHICULOS"/>
    <s v="2025-10-19"/>
  </r>
  <r>
    <s v="SEGURA GONZALES JAIME CARLOS"/>
    <n v="709789"/>
    <s v="2026-08"/>
    <s v="01 - RENOVADA"/>
    <x v="3"/>
    <x v="3"/>
    <s v="WEB VEHICULOS"/>
    <s v="2025-10-19"/>
  </r>
  <r>
    <s v="ASAAD GUERRA BALKYS LEONOR"/>
    <n v="73670"/>
    <s v="2026-09"/>
    <s v="01 - RENOVADA"/>
    <x v="3"/>
    <x v="3"/>
    <s v="SALUD RED MÉDICA"/>
    <s v="2025-10-19"/>
  </r>
  <r>
    <s v="LEON TIMANA JORGE ELIAS"/>
    <n v="37291"/>
    <s v="2026-10"/>
    <s v="01 - RENOVADA"/>
    <x v="3"/>
    <x v="3"/>
    <s v="SALUD RED PREFERENTE"/>
    <s v="2025-10-19"/>
  </r>
  <r>
    <s v="GUZMAN MALAGA DANIEL"/>
    <n v="1573356"/>
    <s v="2026-10"/>
    <s v="01 - RENOVADA"/>
    <x v="3"/>
    <x v="3"/>
    <s v="WEB VEHICULOS"/>
    <s v="2025-10-19"/>
  </r>
  <r>
    <s v="CASTRO QUIROS ALONSO JAVIER"/>
    <n v="1547963"/>
    <s v="2026-08"/>
    <s v="01 - RENOVADA"/>
    <x v="3"/>
    <x v="3"/>
    <s v="WEB VEHICULOS"/>
    <s v="2025-10-19"/>
  </r>
  <r>
    <s v="ZAPATA PETROV SUSANA REGINA"/>
    <n v="1256331"/>
    <s v="2026-05"/>
    <s v="01 - RENOVADA"/>
    <x v="3"/>
    <x v="3"/>
    <s v="WEB VEHICULOS"/>
    <s v="2025-10-20"/>
  </r>
  <r>
    <s v="CASTELLARES CARLIN JESUS ERNESTO"/>
    <n v="1447004"/>
    <s v="2026-07"/>
    <s v="01 - RENOVADA"/>
    <x v="3"/>
    <x v="3"/>
    <s v="WEB VEHICULOS"/>
    <s v="2025-10-20"/>
  </r>
  <r>
    <s v="VERA BUSCH CRISTIAN ANGEL"/>
    <n v="1547952"/>
    <s v="2026-08"/>
    <s v="01 - RENOVADA"/>
    <x v="3"/>
    <x v="3"/>
    <s v="WEB VEHICULOS"/>
    <s v="2025-10-20"/>
  </r>
  <r>
    <s v="ZAPPING PERU S.A.C."/>
    <n v="75617"/>
    <s v="2026-08"/>
    <s v="01 - RENOVADA"/>
    <x v="3"/>
    <x v="3"/>
    <s v="SALUD RED PREFERENTE"/>
    <s v="2025-10-20"/>
  </r>
  <r>
    <s v="ANDERSON BLONDET ITA MARIA ANGELICA"/>
    <n v="1563861"/>
    <s v="2026-09"/>
    <s v="01 - RENOVADA"/>
    <x v="3"/>
    <x v="3"/>
    <s v="WEB VEHICULOS"/>
    <s v="2025-10-20"/>
  </r>
  <r>
    <s v="TEGA INDUSTRIES PERU S.A.C."/>
    <s v="E0034025"/>
    <s v="2026-04"/>
    <s v="01 - RENOVADA"/>
    <x v="3"/>
    <x v="3"/>
    <s v="EPS"/>
    <s v="2025-10-20"/>
  </r>
  <r>
    <s v="CALDERON LOPEZ MIGUEL ANTONIO"/>
    <n v="9632"/>
    <s v="2026-02"/>
    <s v="01 - RENOVADA"/>
    <x v="3"/>
    <x v="3"/>
    <s v="SALUD DE ORO"/>
    <s v="2025-10-20"/>
  </r>
  <r>
    <s v="MEJIA SIFUENTES CARLOS ALFREDO"/>
    <n v="1491923"/>
    <s v="2026-02"/>
    <s v="01 - RENOVADA"/>
    <x v="3"/>
    <x v="3"/>
    <s v="WEB VEHICULOS"/>
    <s v="2025-10-20"/>
  </r>
  <r>
    <s v="CALCIOS ORGANICOS DEL PERU S.A.C."/>
    <n v="1495169"/>
    <s v="2026-01"/>
    <s v="01 - RENOVADA"/>
    <x v="3"/>
    <x v="3"/>
    <s v="WEB VEHICULOS"/>
    <s v="2025-10-20"/>
  </r>
  <r>
    <s v="LOPEZ CORDOVA LUIS ALFREDO"/>
    <n v="53924"/>
    <s v="2026-02"/>
    <s v="01 - RENOVADA"/>
    <x v="3"/>
    <x v="3"/>
    <s v="FULLSALUD"/>
    <s v="2025-10-20"/>
  </r>
  <r>
    <s v="CASTILLO VERA VIVIANA SOFIA"/>
    <n v="1506648"/>
    <s v="2026-03"/>
    <s v="01 - RENOVADA"/>
    <x v="3"/>
    <x v="3"/>
    <s v="WEB VEHICULOS"/>
    <s v="2025-10-20"/>
  </r>
  <r>
    <s v="FREIRE GANOZA ANA MARIELLA FELICIA"/>
    <n v="61443"/>
    <s v="2026-05"/>
    <s v="01 - RENOVADA"/>
    <x v="3"/>
    <x v="3"/>
    <s v="SALUD RED PREFERENTE"/>
    <s v="2025-10-20"/>
  </r>
  <r>
    <s v="JORDAN CORDOVA JULIO CESAR"/>
    <n v="1408028"/>
    <s v="2026-03"/>
    <s v="01 - RENOVADA"/>
    <x v="3"/>
    <x v="3"/>
    <s v="WEB VEHICULOS"/>
    <s v="2025-10-20"/>
  </r>
  <r>
    <s v="FARFAN ZAPATA JULIO CESAR"/>
    <n v="1527972"/>
    <s v="2026-06"/>
    <s v="01 - RENOVADA"/>
    <x v="3"/>
    <x v="3"/>
    <s v="WEB VEHICULOS"/>
    <s v="2025-10-20"/>
  </r>
  <r>
    <s v="ELIAS DE GULMAN CECILIA HORTENSIA"/>
    <n v="12119"/>
    <s v="2026-06"/>
    <s v="01 - RENOVADA"/>
    <x v="3"/>
    <x v="3"/>
    <s v="SALUD DE ORO"/>
    <s v="2025-10-20"/>
  </r>
  <r>
    <s v="LEON TIMANA JORGE ELIAS"/>
    <n v="37313"/>
    <s v="2026-10"/>
    <s v="01 - RENOVADA"/>
    <x v="3"/>
    <x v="3"/>
    <s v="SALUD RED PREFERENTE"/>
    <s v="2025-10-20"/>
  </r>
  <r>
    <s v="LOJA CURAY NATALIA VALERIA"/>
    <n v="86533"/>
    <s v="2026-10"/>
    <s v="01 - RENOVADA"/>
    <x v="3"/>
    <x v="3"/>
    <s v="SALUD RED MÉDICA"/>
    <s v="2025-10-20"/>
  </r>
  <r>
    <s v="CUADROS ANTUNEZ DE MAYOLO VICTOR CIRO JOSE"/>
    <n v="1545397"/>
    <s v="2026-07"/>
    <s v="01 - RENOVADA"/>
    <x v="3"/>
    <x v="3"/>
    <s v="WEB VEHICULOS"/>
    <s v="2025-10-21"/>
  </r>
  <r>
    <s v="FLORES CELI IRIS ALICIA"/>
    <n v="98895"/>
    <s v="2026-09"/>
    <s v="01 - RENOVADA"/>
    <x v="3"/>
    <x v="3"/>
    <s v="SALUD RED MÉDICA"/>
    <s v="2025-10-21"/>
  </r>
  <r>
    <s v="BENAVIDES LOZANO DIEGO"/>
    <n v="54357"/>
    <s v="2026-06"/>
    <s v="01 - RENOVADA"/>
    <x v="3"/>
    <x v="3"/>
    <s v="FULLSALUD"/>
    <s v="2025-10-21"/>
  </r>
  <r>
    <s v="MORALES PUCH ANDREA"/>
    <n v="93584"/>
    <s v="2025-12"/>
    <s v="03 - PENDIENTE"/>
    <x v="3"/>
    <x v="3"/>
    <s v="SALUD RED MÉDICA"/>
    <s v="2025-10-22"/>
  </r>
  <r>
    <s v="RODRIGO GRAÑA ISMAEL"/>
    <n v="1418826"/>
    <s v="2026-03"/>
    <s v="01 - RENOVADA"/>
    <x v="3"/>
    <x v="3"/>
    <s v="WEB VEHICULOS"/>
    <s v="2025-10-22"/>
  </r>
  <r>
    <s v="RUIZ SALAZAR JOSE BRUCE STEVEN"/>
    <n v="1408038"/>
    <s v="2026-03"/>
    <s v="01 - RENOVADA"/>
    <x v="3"/>
    <x v="3"/>
    <s v="WEB VEHICULOS"/>
    <s v="2025-10-22"/>
  </r>
  <r>
    <s v="ALVA DIAZ ROBERTO ALEXANDER"/>
    <n v="1532665"/>
    <s v="2026-05"/>
    <s v="01 - RENOVADA"/>
    <x v="3"/>
    <x v="3"/>
    <s v="WEB VEHICULOS"/>
    <s v="2025-10-22"/>
  </r>
  <r>
    <s v="HUAMANCAJA LARA ENRIQUE"/>
    <n v="1538666"/>
    <s v="2026-07"/>
    <s v="01 - RENOVADA"/>
    <x v="3"/>
    <x v="3"/>
    <s v="WEB VEHICULOS"/>
    <s v="2025-10-22"/>
  </r>
  <r>
    <s v="FLORES CELI IRIS ALICIA"/>
    <n v="98960"/>
    <s v="2026-09"/>
    <s v="01 - RENOVADA"/>
    <x v="3"/>
    <x v="3"/>
    <s v="SALUD RED MÉDICA"/>
    <s v="2025-10-22"/>
  </r>
  <r>
    <s v="DELGADO CUADROS MARIELA ELVIRA"/>
    <n v="1575320"/>
    <s v="2026-10"/>
    <s v="01 - RENOVADA"/>
    <x v="3"/>
    <x v="3"/>
    <s v="WEB VEHICULOS"/>
    <s v="2025-10-22"/>
  </r>
  <r>
    <s v="CARPIO CORREA ROSA CELIA"/>
    <n v="1547969"/>
    <s v="2026-08"/>
    <s v="01 - RENOVADA"/>
    <x v="3"/>
    <x v="3"/>
    <s v="WEB VEHICULOS"/>
    <s v="2025-10-22"/>
  </r>
  <r>
    <s v="CESPEDES VAN OORDT MIGUEL EMILIO"/>
    <n v="1573325"/>
    <s v="2026-10"/>
    <s v="01 - RENOVADA"/>
    <x v="3"/>
    <x v="3"/>
    <s v="WEB VEHICULOS"/>
    <s v="2025-10-22"/>
  </r>
  <r>
    <s v="FARRO MANRIQUE ELMER MIGUEL"/>
    <n v="1464173"/>
    <s v="2026-10"/>
    <s v="01 - RENOVADA"/>
    <x v="3"/>
    <x v="3"/>
    <s v="WEB VEHICULOS"/>
    <s v="2025-10-22"/>
  </r>
  <r>
    <s v="BEJAR FUENTES RENATTO"/>
    <n v="1563560"/>
    <s v="2026-09"/>
    <s v="01 - RENOVADA"/>
    <x v="3"/>
    <x v="3"/>
    <s v="WEB VEHICULOS"/>
    <s v="2025-10-22"/>
  </r>
  <r>
    <s v="GRUPO GLOBAL BRANDS S.A.C."/>
    <s v="E0038819"/>
    <s v="2026-09"/>
    <s v="01 - RENOVADA"/>
    <x v="3"/>
    <x v="3"/>
    <s v="EPS"/>
    <s v="2025-10-22"/>
  </r>
  <r>
    <s v="SPOT LINCE S.A.C."/>
    <s v="E0038807"/>
    <s v="2026-09"/>
    <s v="01 - RENOVADA"/>
    <x v="3"/>
    <x v="3"/>
    <s v="EPS"/>
    <s v="2025-10-22"/>
  </r>
  <r>
    <s v="DELGADO LUQUE RENZO AUGUSTO"/>
    <n v="1502209"/>
    <s v="2026-02"/>
    <s v="01 - RENOVADA"/>
    <x v="3"/>
    <x v="3"/>
    <s v="WEB VEHICULOS"/>
    <s v="2025-10-23"/>
  </r>
  <r>
    <s v="PETROZZI HAIDL ENRICO FRANCESCO FEDERICO"/>
    <n v="101748"/>
    <s v="2026-02"/>
    <s v="01 - RENOVADA"/>
    <x v="3"/>
    <x v="3"/>
    <s v="SALUD RED MÉDICA"/>
    <s v="2025-10-23"/>
  </r>
  <r>
    <s v="MONTES RAMOS MARLITH ZENAIDA"/>
    <n v="53310"/>
    <s v="2026-05"/>
    <s v="01 - RENOVADA"/>
    <x v="3"/>
    <x v="3"/>
    <s v="SALUD RED PREFERENTE"/>
    <s v="2025-10-23"/>
  </r>
  <r>
    <s v="MIGUEL BRUM DE DEUS LUAN SAVIO"/>
    <n v="74518"/>
    <s v="2026-04"/>
    <s v="01 - RENOVADA"/>
    <x v="3"/>
    <x v="3"/>
    <s v="SALUD RED PREFERENTE"/>
    <s v="2025-10-23"/>
  </r>
  <r>
    <s v="ASENCIOS GOMEZ LASTENIA CECILIA"/>
    <n v="1463838"/>
    <s v="2026-09"/>
    <s v="01 - RENOVADA"/>
    <x v="3"/>
    <x v="3"/>
    <s v="WEB VEHICULOS"/>
    <s v="2025-10-23"/>
  </r>
  <r>
    <s v="HARTEN WOODMAN EDUARDO"/>
    <n v="1565837"/>
    <s v="2026-09"/>
    <s v="01 - RENOVADA"/>
    <x v="3"/>
    <x v="3"/>
    <s v="WEB VEHICULOS"/>
    <s v="2025-10-24"/>
  </r>
  <r>
    <s v="GALLUCCIO GALLARDO THERESA"/>
    <n v="1547990"/>
    <s v="2026-08"/>
    <s v="01 - RENOVADA"/>
    <x v="3"/>
    <x v="3"/>
    <s v="WEB VEHICULOS"/>
    <s v="2025-10-24"/>
  </r>
  <r>
    <s v="VENEGAS CUEVA EDWIN EDUARDO"/>
    <n v="1575405"/>
    <s v="2026-09"/>
    <s v="01 - RENOVADA"/>
    <x v="3"/>
    <x v="3"/>
    <s v="WEB VEHICULOS"/>
    <s v="2025-10-24"/>
  </r>
  <r>
    <s v="MATICORENA CARRILLO RICARDO LUIS"/>
    <n v="571204"/>
    <s v="2026-06"/>
    <s v="01 - RENOVADA"/>
    <x v="3"/>
    <x v="3"/>
    <s v="WEB VEHICULOS"/>
    <s v="2025-10-25"/>
  </r>
  <r>
    <s v="ANDRESS BENAVIDES DE HARMSEN ANA TERESA"/>
    <n v="1066596"/>
    <s v="2026-08"/>
    <s v="01 - RENOVADA"/>
    <x v="3"/>
    <x v="3"/>
    <s v="WEB VEHICULOS"/>
    <s v="2025-10-25"/>
  </r>
  <r>
    <s v="PROYECTA INGENIEROS CIVILES S.A.C."/>
    <n v="48909"/>
    <s v="2026-04"/>
    <s v="01 - RENOVADA"/>
    <x v="3"/>
    <x v="3"/>
    <s v="FULLSALUD"/>
    <s v="2025-10-25"/>
  </r>
  <r>
    <s v="ARRIETA OCAMPO JUAN JOSE DEL CARMEN"/>
    <n v="1505738"/>
    <s v="2026-02"/>
    <s v="01 - RENOVADA"/>
    <x v="3"/>
    <x v="3"/>
    <s v="WEB VEHICULOS"/>
    <s v="2025-10-25"/>
  </r>
  <r>
    <s v="MENDOZA TRUJILLO LINDER"/>
    <n v="1537757"/>
    <s v="2026-06"/>
    <s v="01 - RENOVADA"/>
    <x v="3"/>
    <x v="3"/>
    <s v="WEB VEHICULOS"/>
    <s v="2025-10-25"/>
  </r>
  <r>
    <s v="DIAZ PEREZ JORGE ANGEL"/>
    <n v="1563812"/>
    <s v="2026-09"/>
    <s v="01 - RENOVADA"/>
    <x v="3"/>
    <x v="3"/>
    <s v="WEB VEHICULOS"/>
    <s v="2025-10-25"/>
  </r>
  <r>
    <s v="PODESTA HAUSTEIN GONZALO MANUEL"/>
    <n v="1575959"/>
    <s v="2026-09"/>
    <s v="No Encontrado"/>
    <x v="3"/>
    <x v="3"/>
    <s v="WEB VEHICULOS"/>
    <s v="2025-10-25"/>
  </r>
  <r>
    <s v="CALDERON MENDOZA NANCY VANESSA"/>
    <n v="1454542"/>
    <s v="2026-09"/>
    <s v="01 - RENOVADA"/>
    <x v="3"/>
    <x v="3"/>
    <s v="WEB VEHICULOS"/>
    <s v="2025-10-25"/>
  </r>
  <r>
    <s v="LANATA ZELADA ENRIQUE FRANCISCO"/>
    <n v="51354"/>
    <s v="2026-02"/>
    <s v="01 - RENOVADA"/>
    <x v="3"/>
    <x v="3"/>
    <s v="SALUD RED PREFERENTE"/>
    <s v="2025-10-26"/>
  </r>
  <r>
    <s v="DURAN QUEROL RODOLFO MARTIN"/>
    <n v="1516119"/>
    <s v="2026-03"/>
    <s v="01 - RENOVADA"/>
    <x v="3"/>
    <x v="3"/>
    <s v="WEB VEHICULOS"/>
    <s v="2025-10-26"/>
  </r>
  <r>
    <s v="DONAYRE REVILLA BEATRIZ CONSUELO"/>
    <n v="1516120"/>
    <s v="2026-03"/>
    <s v="01 - RENOVADA"/>
    <x v="3"/>
    <x v="3"/>
    <s v="WEB VEHICULOS"/>
    <s v="2025-10-26"/>
  </r>
  <r>
    <s v="LOPEZ HURTADO RAMIREZ CARMEN MILAGROS"/>
    <n v="1525337"/>
    <s v="2026-05"/>
    <s v="01 - RENOVADA"/>
    <x v="3"/>
    <x v="3"/>
    <s v="WEB VEHICULOS"/>
    <s v="2025-10-26"/>
  </r>
  <r>
    <s v="SALGUERO LIMACHI CARLOS ALBERTO"/>
    <n v="36481"/>
    <s v="2026-07"/>
    <s v="01 - RENOVADA"/>
    <x v="3"/>
    <x v="3"/>
    <s v="SALUD RED PREFERENTE"/>
    <s v="2025-10-26"/>
  </r>
  <r>
    <s v="MANDUJANO SALAS YAMPIERR PAOLO"/>
    <n v="1538645"/>
    <s v="2026-07"/>
    <s v="01 - RENOVADA"/>
    <x v="3"/>
    <x v="3"/>
    <s v="WEB VEHICULOS"/>
    <s v="2025-10-26"/>
  </r>
  <r>
    <s v="MAN RAMIREZ YULIANA RUTH"/>
    <n v="1573343"/>
    <s v="2026-10"/>
    <s v="01 - RENOVADA"/>
    <x v="3"/>
    <x v="3"/>
    <s v="WEB VEHICULOS"/>
    <s v="2025-10-26"/>
  </r>
  <r>
    <s v="JOAQUIN VILLANUEVA PEDRO ALBERTO"/>
    <n v="1551803"/>
    <s v="2026-07"/>
    <s v="01 - RENOVADA"/>
    <x v="3"/>
    <x v="3"/>
    <s v="WEB VEHICULOS"/>
    <s v="2025-10-26"/>
  </r>
  <r>
    <s v="PARRA BOCANEGRA KARLA MARIELLA"/>
    <n v="1573381"/>
    <s v="2026-10"/>
    <s v="01 - RENOVADA"/>
    <x v="3"/>
    <x v="3"/>
    <s v="WEB VEHICULOS"/>
    <s v="2025-10-26"/>
  </r>
  <r>
    <s v="ESTCOLD PERUANA S.A.C"/>
    <n v="1546062"/>
    <s v="2026-08"/>
    <s v="01 - RENOVADA"/>
    <x v="3"/>
    <x v="3"/>
    <s v="WEB VEHICULOS"/>
    <s v="2025-10-27"/>
  </r>
  <r>
    <s v="CORSO HUACO CLAUDIO"/>
    <n v="1433287"/>
    <s v="2026-05"/>
    <s v="01 - RENOVADA"/>
    <x v="3"/>
    <x v="3"/>
    <s v="WEB VEHICULOS"/>
    <s v="2025-10-27"/>
  </r>
  <r>
    <s v="LLOSA &amp; R. LA ROSA ABOGADOS SOCIEDAD CIVIL DE RESPONSABILIDAD LIMITADA-LLOSA &amp; R. LA ROSA ABOGADOS S"/>
    <n v="101890"/>
    <s v="2026-07"/>
    <s v="01 - RENOVADA"/>
    <x v="3"/>
    <x v="3"/>
    <s v="SALUD RED MÉDICA"/>
    <s v="2025-10-27"/>
  </r>
  <r>
    <s v="HUAMAN DE LOS HEROS PANCORVO BENJAMIN VICENTE MARIO"/>
    <n v="75408"/>
    <s v="2026-01"/>
    <s v="01 - RENOVADA"/>
    <x v="3"/>
    <x v="3"/>
    <s v="SALUD RED MÉDICA"/>
    <s v="2025-10-28"/>
  </r>
  <r>
    <s v="VALERA CHIRINOS GERARDO LUIS"/>
    <n v="1483604"/>
    <s v="2026-01"/>
    <s v="01 - RENOVADA"/>
    <x v="3"/>
    <x v="3"/>
    <s v="WEB VEHICULOS"/>
    <s v="2025-10-28"/>
  </r>
  <r>
    <s v="PINILLOS VIZCARRA KARLA"/>
    <n v="51407"/>
    <s v="2026-02"/>
    <s v="01 - RENOVADA"/>
    <x v="3"/>
    <x v="3"/>
    <s v="FULLSALUD"/>
    <s v="2025-10-28"/>
  </r>
  <r>
    <s v="GARRO MENDIOLA HUGO"/>
    <n v="1525616"/>
    <s v="2026-04"/>
    <s v="01 - RENOVADA"/>
    <x v="3"/>
    <x v="3"/>
    <s v="WEB VEHICULOS"/>
    <s v="2025-10-28"/>
  </r>
  <r>
    <s v="CEDRON ZARATE JOSE GABRIEL"/>
    <n v="5264"/>
    <s v="2026-08"/>
    <s v="01 - RENOVADA"/>
    <x v="3"/>
    <x v="3"/>
    <s v="ONCO. INTEGRAL INDIVIDUAL BROKERS"/>
    <s v="2025-10-28"/>
  </r>
  <r>
    <s v="TRAVERSO ZEGARRA CAMILO FERNANDO"/>
    <n v="90574"/>
    <s v="2026-06"/>
    <s v="01 - RENOVADA"/>
    <x v="3"/>
    <x v="3"/>
    <s v="SALUD RED MÉDICA"/>
    <s v="2025-10-28"/>
  </r>
  <r>
    <s v="HUAMAN CORNELIO RAFAEL RICARDO"/>
    <n v="1578883"/>
    <s v="2026-10"/>
    <s v="01 - RENOVADA"/>
    <x v="3"/>
    <x v="3"/>
    <s v="WEB VEHICULOS"/>
    <s v="2025-10-28"/>
  </r>
  <r>
    <s v="HUAMAN CORNELIO RAFAEL RICARDO"/>
    <n v="1579179"/>
    <s v="2026-10"/>
    <s v="01 - RENOVADA"/>
    <x v="3"/>
    <x v="3"/>
    <s v="WEB VEHICULOS"/>
    <s v="2025-10-28"/>
  </r>
  <r>
    <s v="JORDAN CORDOVA JULIO CESAR"/>
    <n v="1279368"/>
    <s v="2026-09"/>
    <s v="01 - RENOVADA"/>
    <x v="3"/>
    <x v="3"/>
    <s v="WEB VEHICULOS"/>
    <s v="2025-10-28"/>
  </r>
  <r>
    <s v="CACERES ALMANDOS LUISA MONICA"/>
    <n v="80745"/>
    <s v="2026-10"/>
    <s v="01 - RENOVADA"/>
    <x v="3"/>
    <x v="3"/>
    <s v="SALUD RED MÉDICA"/>
    <s v="2025-10-29"/>
  </r>
  <r>
    <s v="ESPINOZA HERRERA GUSTAVO JOAQUIN"/>
    <n v="80715"/>
    <s v="2026-10"/>
    <s v="01 - RENOVADA"/>
    <x v="3"/>
    <x v="3"/>
    <s v="SALUD RED MÉDICA"/>
    <s v="2025-10-29"/>
  </r>
  <r>
    <s v="LOPEZ RIOS LUCIA DEL ROCIO"/>
    <n v="1414538"/>
    <s v="2026-04"/>
    <s v="01 - RENOVADA"/>
    <x v="3"/>
    <x v="3"/>
    <s v="WEB VEHICULOS"/>
    <s v="2025-10-30"/>
  </r>
  <r>
    <s v="TOLEDO  FERNANDO ADRIAN"/>
    <n v="1514978"/>
    <s v="2026-04"/>
    <s v="01 - RENOVADA"/>
    <x v="3"/>
    <x v="3"/>
    <s v="WEB VEHICULOS"/>
    <s v="2025-10-30"/>
  </r>
  <r>
    <s v="MAURY HOLGUIN MONICA CECILIA"/>
    <n v="1426104"/>
    <s v="2026-05"/>
    <s v="01 - RENOVADA"/>
    <x v="3"/>
    <x v="3"/>
    <s v="WEB VEHICULOS"/>
    <s v="2025-10-30"/>
  </r>
  <r>
    <s v="CALLE BUSTAMANTE ABEL ANTONIO"/>
    <n v="8855"/>
    <s v="2026-08"/>
    <s v="01 - RENOVADA"/>
    <x v="3"/>
    <x v="3"/>
    <s v="SALUD DE ORO"/>
    <s v="2025-10-30"/>
  </r>
  <r>
    <s v="PFLUCKER VALDIVIA CAROLINE"/>
    <n v="15889"/>
    <s v="2026-09"/>
    <s v="01 - RENOVADA"/>
    <x v="3"/>
    <x v="3"/>
    <s v="FULL SALUD F F V V"/>
    <s v="2025-10-30"/>
  </r>
  <r>
    <s v="PFLUCKER VALDIVIA CAROLINE"/>
    <n v="15888"/>
    <s v="2026-09"/>
    <s v="01 - RENOVADA"/>
    <x v="3"/>
    <x v="3"/>
    <s v="FULL SALUD F F V V"/>
    <s v="2025-10-30"/>
  </r>
  <r>
    <s v="PFLUCKER VALDIVIA CAROLINE"/>
    <n v="15890"/>
    <s v="2026-09"/>
    <s v="01 - RENOVADA"/>
    <x v="3"/>
    <x v="3"/>
    <s v="FULL SALUD F F V V"/>
    <s v="2025-10-30"/>
  </r>
  <r>
    <s v="DAMERO FOOD S.A.C."/>
    <n v="1300363638"/>
    <s v="2025-12"/>
    <s v="03 - PENDIENTE"/>
    <x v="3"/>
    <x v="3"/>
    <s v="VIDA LEY D.L. 688"/>
    <s v="2025-10-30"/>
  </r>
  <r>
    <s v="HALL CAFE SAC"/>
    <n v="1300363645"/>
    <s v="2025-12"/>
    <s v="03 - PENDIENTE"/>
    <x v="3"/>
    <x v="3"/>
    <s v="VIDA LEY D.L. 688"/>
    <s v="2025-10-30"/>
  </r>
  <r>
    <s v="LA MURALLA URBANA S.A.C."/>
    <n v="1300363649"/>
    <s v="2025-12"/>
    <s v="03 - PENDIENTE"/>
    <x v="3"/>
    <x v="3"/>
    <s v="VIDA LEY D.L. 688"/>
    <s v="2025-10-30"/>
  </r>
  <r>
    <s v="PERUVIAN NORTH FOOD SAC"/>
    <n v="1300363664"/>
    <s v="2025-12"/>
    <s v="03 - PENDIENTE"/>
    <x v="3"/>
    <x v="3"/>
    <s v="VIDA LEY D.L. 688"/>
    <s v="2025-10-30"/>
  </r>
  <r>
    <s v="PUERTO SEAFOOD S.A.C."/>
    <n v="1300363668"/>
    <s v="2025-12"/>
    <s v="03 - PENDIENTE"/>
    <x v="3"/>
    <x v="3"/>
    <s v="VIDA LEY D.L. 688"/>
    <s v="2025-10-30"/>
  </r>
  <r>
    <s v="FUKUNAGA MENDOZA LUIS MARTIN"/>
    <n v="1573588"/>
    <s v="2026-10"/>
    <s v="01 - RENOVADA"/>
    <x v="3"/>
    <x v="3"/>
    <s v="WEB VEHICULOS"/>
    <s v="2025-10-31"/>
  </r>
  <r>
    <s v="HIRUNDO E.I.R.L."/>
    <n v="605841"/>
    <s v="2026-10"/>
    <s v="01 - RENOVADA"/>
    <x v="3"/>
    <x v="3"/>
    <s v="NEGOCIO SEGURO"/>
    <s v="2025-10-31"/>
  </r>
  <r>
    <s v="XIAOMI TECHNOLOGIES PERU S.A.C."/>
    <n v="52231"/>
    <s v="2026-09"/>
    <s v="01 - RENOVADA"/>
    <x v="3"/>
    <x v="3"/>
    <s v="FULLSALUD"/>
    <s v="2025-10-31"/>
  </r>
  <r>
    <s v="XIAOMI TECHNOLOGIES PERU S.A.C."/>
    <n v="52226"/>
    <s v="2026-10"/>
    <s v="01 - RENOVADA"/>
    <x v="3"/>
    <x v="3"/>
    <s v="FULLSALUD"/>
    <s v="2025-10-31"/>
  </r>
  <r>
    <s v="XIAOMI TECHNOLOGIES PERU S.A.C."/>
    <n v="54307"/>
    <s v="2026-09"/>
    <s v="01 - RENOVADA"/>
    <x v="3"/>
    <x v="3"/>
    <s v="FULLSALUD"/>
    <s v="2025-10-31"/>
  </r>
  <r>
    <s v="XIAOMI TECHNOLOGIES PERU S.A.C."/>
    <n v="54305"/>
    <s v="2026-09"/>
    <s v="01 - RENOVADA"/>
    <x v="3"/>
    <x v="3"/>
    <s v="FULLSALUD"/>
    <s v="2025-10-31"/>
  </r>
  <r>
    <s v="XIAOMI TECHNOLOGIES PERU S.A.C."/>
    <n v="54317"/>
    <s v="2026-09"/>
    <s v="01 - RENOVADA"/>
    <x v="3"/>
    <x v="3"/>
    <s v="FULLSALUD"/>
    <s v="2025-10-31"/>
  </r>
  <r>
    <s v="XIAOMI TECHNOLOGIES PERU S.A.C."/>
    <n v="52285"/>
    <s v="2026-09"/>
    <s v="01 - RENOVADA"/>
    <x v="3"/>
    <x v="3"/>
    <s v="FULLSALUD"/>
    <s v="2025-10-31"/>
  </r>
  <r>
    <s v="XIAOMI TECHNOLOGIES PERU S.A.C."/>
    <n v="54293"/>
    <s v="2026-09"/>
    <s v="01 - RENOVADA"/>
    <x v="3"/>
    <x v="3"/>
    <s v="FULLSALUD"/>
    <s v="2025-10-31"/>
  </r>
  <r>
    <s v="XIAOMI TECHNOLOGIES PERU S.A.C."/>
    <n v="54610"/>
    <s v="2026-10"/>
    <s v="No Encontrado"/>
    <x v="3"/>
    <x v="3"/>
    <s v="FULLSALUD"/>
    <s v="2025-10-31"/>
  </r>
  <r>
    <s v="XIAOMI TECHNOLOGIES PERU S.A.C."/>
    <n v="54626"/>
    <s v="2026-09"/>
    <s v="No Encontrado"/>
    <x v="3"/>
    <x v="3"/>
    <s v="FULLSALUD"/>
    <s v="2025-10-31"/>
  </r>
  <r>
    <s v="LESCHACO PERU S.A.C."/>
    <n v="48486"/>
    <s v="2026-02"/>
    <s v="03 - PENDIENTE"/>
    <x v="3"/>
    <x v="3"/>
    <s v="FORMACION LABORAL"/>
    <s v="2025-10-31"/>
  </r>
  <r>
    <s v="ACCURATE MANAGEMENT S.A.C"/>
    <n v="47194"/>
    <s v="2026-02"/>
    <s v="02 - EN PROCESO"/>
    <x v="3"/>
    <x v="3"/>
    <s v="FORMACION LABORAL"/>
    <s v="2025-10-31"/>
  </r>
  <r>
    <s v="PAT. EN FID. D.LEG.861-SUMAQ NO INS. EN LA SMV DIR. A INV. INST."/>
    <n v="48316"/>
    <s v="2026-02"/>
    <s v="02 - EN PROCESO"/>
    <x v="3"/>
    <x v="3"/>
    <s v="FORMACION LABORAL"/>
    <s v="2025-10-31"/>
  </r>
  <r>
    <s v="PORTILLA ALVAREZ CARLOS ANDRES"/>
    <n v="72116"/>
    <s v="2026-06"/>
    <s v="01 - RENOVADA"/>
    <x v="3"/>
    <x v="3"/>
    <s v="SALUD RED MÉDICA"/>
    <s v="2025-10-31"/>
  </r>
  <r>
    <s v="VELASCO COLLAZOS JHONNY ALEXANDER"/>
    <n v="1547983"/>
    <s v="2026-08"/>
    <s v="01 - RENOVADA"/>
    <x v="3"/>
    <x v="3"/>
    <s v="WEB VEHICULOS"/>
    <s v="2025-10-31"/>
  </r>
  <r>
    <s v="RODRIGO GRAÑA ISMAEL"/>
    <n v="40724"/>
    <s v="2025-12"/>
    <s v="03 - PENDIENTE"/>
    <x v="3"/>
    <x v="3"/>
    <s v="FULLSALUD"/>
    <s v="2025-11-01"/>
  </r>
  <r>
    <s v="MENDOZA CASALINO ANTONIO JOSE"/>
    <n v="74699"/>
    <s v="2025-12"/>
    <s v="03 - PENDIENTE"/>
    <x v="3"/>
    <x v="3"/>
    <s v="SALUD RED MÉDICA"/>
    <s v="2025-11-01"/>
  </r>
  <r>
    <s v="PARDO PACHECO DE KAUFMANN MARIA INES ROSARIO"/>
    <n v="41296"/>
    <s v="2026-02"/>
    <s v="01 - RENOVADA"/>
    <x v="3"/>
    <x v="3"/>
    <s v="SALUD PREFERENCIAL"/>
    <s v="2025-11-01"/>
  </r>
  <r>
    <s v="VALLE CRUZADO ARACELI ESTHER"/>
    <n v="69741"/>
    <s v="2026-02"/>
    <s v="01 - RENOVADA"/>
    <x v="3"/>
    <x v="3"/>
    <s v="SALUD RED MÉDICA"/>
    <s v="2025-11-01"/>
  </r>
  <r>
    <s v="NEUHAUS WIESE RODOLFO FERNANDO"/>
    <n v="76561"/>
    <s v="2026-04"/>
    <s v="01 - RENOVADA"/>
    <x v="3"/>
    <x v="3"/>
    <s v="SALUD RED MÉDICA"/>
    <s v="2025-11-01"/>
  </r>
  <r>
    <s v="GRAÑA ACUÑA ANDRES AGUSTIN"/>
    <n v="2780"/>
    <s v="2026-04"/>
    <s v="01 - RENOVADA"/>
    <x v="3"/>
    <x v="3"/>
    <s v="SALUD DE ORO F F V V"/>
    <s v="2025-11-01"/>
  </r>
  <r>
    <s v="ZERPA MANRIQUE RONIE"/>
    <n v="1519922"/>
    <s v="2026-05"/>
    <s v="01 - RENOVADA"/>
    <x v="3"/>
    <x v="3"/>
    <s v="WEB VEHICULOS"/>
    <s v="2025-11-01"/>
  </r>
  <r>
    <s v="TRINIDAD RAMON CARLOS ENRIQUE"/>
    <n v="13131"/>
    <s v="2026-02"/>
    <s v="01 - RENOVADA"/>
    <x v="3"/>
    <x v="3"/>
    <s v="FULL SALUD F F V V"/>
    <s v="2025-11-01"/>
  </r>
  <r>
    <s v="VELASCO CARRION JORGE ALFREDO"/>
    <n v="1414541"/>
    <s v="2026-06"/>
    <s v="01 - RENOVADA"/>
    <x v="3"/>
    <x v="3"/>
    <s v="WEB VEHICULOS"/>
    <s v="2025-11-01"/>
  </r>
  <r>
    <s v="GILES PONCE TERESA"/>
    <n v="4011002161"/>
    <s v="2026-06"/>
    <s v="01 - RENOVADA"/>
    <x v="3"/>
    <x v="3"/>
    <s v="FULLSALUD"/>
    <s v="2025-11-01"/>
  </r>
  <r>
    <s v="CALDERON CHIRINOS SANDRA IVETTE"/>
    <n v="79358"/>
    <s v="2026-07"/>
    <s v="01 - RENOVADA"/>
    <x v="3"/>
    <x v="3"/>
    <s v="SALUD RED MÉDICA"/>
    <s v="2025-11-01"/>
  </r>
  <r>
    <s v="MONTERO GRAÑA MARIA LUZ"/>
    <n v="527422"/>
    <s v="2026-08"/>
    <s v="01 - RENOVADA"/>
    <x v="3"/>
    <x v="3"/>
    <s v="DOMICILIARIO RIMAC (EX CASASEGURA)"/>
    <s v="2025-11-01"/>
  </r>
  <r>
    <s v="MONTERO GRAÑA MARIA LUZ"/>
    <n v="511186"/>
    <s v="2026-08"/>
    <s v="01 - RENOVADA"/>
    <x v="3"/>
    <x v="3"/>
    <s v="DOMICILIARIO RIMAC (EX CASASEGURA)"/>
    <s v="2025-11-01"/>
  </r>
  <r>
    <s v="MONTERO GRAÑA MARIA LUZ"/>
    <n v="511187"/>
    <s v="2026-08"/>
    <s v="01 - RENOVADA"/>
    <x v="3"/>
    <x v="3"/>
    <s v="DOMICILIARIO RIMAC (EX CASASEGURA)"/>
    <s v="2025-11-01"/>
  </r>
  <r>
    <s v="PFLUCKER VALDIVIA CAROLINE"/>
    <n v="15892"/>
    <s v="2026-09"/>
    <s v="01 - RENOVADA"/>
    <x v="3"/>
    <x v="3"/>
    <s v="FULL SALUD F F V V"/>
    <s v="2025-11-01"/>
  </r>
  <r>
    <s v="BUENDIA SARDON JULIO CESAR"/>
    <n v="52205"/>
    <s v="2026-08"/>
    <s v="01 - RENOVADA"/>
    <x v="3"/>
    <x v="3"/>
    <s v="FULLSALUD"/>
    <s v="2025-11-01"/>
  </r>
  <r>
    <s v="ARRIETA OCAMPO JUAN JOSE DEL CARMEN"/>
    <n v="38832"/>
    <s v="2026-09"/>
    <s v="01 - RENOVADA"/>
    <x v="3"/>
    <x v="3"/>
    <s v="FULLSALUD"/>
    <s v="2025-11-01"/>
  </r>
  <r>
    <s v="CARBONEL CAVERO EDGARDO PAUL"/>
    <n v="528419"/>
    <s v="2026-09"/>
    <s v="01 - RENOVADA"/>
    <x v="3"/>
    <x v="3"/>
    <s v="DOMICILIARIO RIMAC (EX CASASEGURA)"/>
    <s v="2025-11-01"/>
  </r>
  <r>
    <s v="HELGUERO SOLARI MARIA DEL CARMEN VIRGINIA MATILDE L"/>
    <n v="8936"/>
    <s v="2026-10"/>
    <s v="01 - RENOVADA"/>
    <x v="3"/>
    <x v="3"/>
    <s v="SALUD DE ORO"/>
    <s v="2025-11-01"/>
  </r>
  <r>
    <s v="GRAÑA MIRO QUESADA JOSE ALEJANDRO"/>
    <n v="4012000431"/>
    <s v="2026-11"/>
    <s v="01 - RENOVADA"/>
    <x v="3"/>
    <x v="3"/>
    <s v="SALUD PREFERENCIAL"/>
    <s v="2025-11-01"/>
  </r>
  <r>
    <s v="TABOADA DEL CASTILLO PEDRO PABLO"/>
    <n v="68178"/>
    <s v="2026-11"/>
    <s v="01 - RENOVADA"/>
    <x v="3"/>
    <x v="3"/>
    <s v="SALUD RED MÉDICA"/>
    <s v="2025-11-01"/>
  </r>
  <r>
    <s v="WALTERSDORFER RIVERA FRANCISCO JOSE"/>
    <n v="73745"/>
    <s v="2026-10"/>
    <s v="01 - RENOVADA"/>
    <x v="3"/>
    <x v="3"/>
    <s v="SALUD RED MÉDICA"/>
    <s v="2025-11-01"/>
  </r>
  <r>
    <s v="KAUFMANN PARDO PAUL PETER"/>
    <n v="40022"/>
    <s v="2026-09"/>
    <s v="01 - RENOVADA"/>
    <x v="3"/>
    <x v="3"/>
    <s v="SALUD PREFERENCIAL"/>
    <s v="2025-11-01"/>
  </r>
  <r>
    <s v="REQUEJO CABRERA GERMAN ANTONIO"/>
    <n v="4004004291"/>
    <s v="2026-09"/>
    <s v="01 - RENOVADA"/>
    <x v="3"/>
    <x v="3"/>
    <s v="SALUD RED MÉDICA"/>
    <s v="2025-11-01"/>
  </r>
  <r>
    <s v="VENEGAS CUEVA EDWIN EDUARDO"/>
    <n v="1567343"/>
    <s v="2026-09"/>
    <s v="01 - RENOVADA"/>
    <x v="3"/>
    <x v="3"/>
    <s v="WEB VEHICULOS"/>
    <s v="2025-11-01"/>
  </r>
  <r>
    <s v="LOGICORPERU S.A.C."/>
    <n v="510573"/>
    <s v="2026-11"/>
    <s v="01 - RENOVADA"/>
    <x v="3"/>
    <x v="3"/>
    <s v="TREC"/>
    <s v="2025-11-01"/>
  </r>
  <r>
    <s v="DIAZ OLIVERO LUIS FRANCISCO"/>
    <n v="1574042"/>
    <s v="2026-10"/>
    <s v="01 - RENOVADA"/>
    <x v="3"/>
    <x v="3"/>
    <s v="WEB VEHICULOS"/>
    <s v="2025-11-01"/>
  </r>
  <r>
    <s v="MARVAL PERU SAC"/>
    <n v="1300049736"/>
    <s v="2026-04"/>
    <s v="03 - PENDIENTE"/>
    <x v="3"/>
    <x v="3"/>
    <s v="VIDA LEY D.L. 688"/>
    <s v="2025-11-01"/>
  </r>
  <r>
    <s v="FIMA S A"/>
    <n v="1300401814"/>
    <s v="2025-11"/>
    <s v="03 - PENDIENTE"/>
    <x v="3"/>
    <x v="3"/>
    <s v="VIDA LEY D.L. 688"/>
    <s v="2025-10-01"/>
  </r>
  <r>
    <s v="FIMA CORP. S.A.C."/>
    <n v="1300638170"/>
    <s v="2025-11"/>
    <s v="03 - PENDIENTE"/>
    <x v="3"/>
    <x v="3"/>
    <s v="VIDALEYRE"/>
    <s v="2025-10-09"/>
  </r>
  <r>
    <s v="CORPORACION TERMODINAMICA SOCIEDAD ANONIMA"/>
    <n v="1548389"/>
    <s v="2026-08"/>
    <s v="01 - RENOVADA"/>
    <x v="3"/>
    <x v="3"/>
    <s v="WEB VEHICULOS"/>
    <s v="2025-11-02"/>
  </r>
  <r>
    <s v="ARBULU RIVERA ANA FIORELLA"/>
    <n v="7047"/>
    <s v="2026-05"/>
    <s v="01 - RENOVADA"/>
    <x v="3"/>
    <x v="3"/>
    <s v="SALUD DE ORO"/>
    <s v="2025-11-02"/>
  </r>
  <r>
    <s v="FREIRE GANOZA ANA MARIELLA FELICIA"/>
    <n v="61795"/>
    <s v="2026-05"/>
    <s v="01 - RENOVADA"/>
    <x v="3"/>
    <x v="3"/>
    <s v="SALUD RED PREFERENTE"/>
    <s v="2025-11-02"/>
  </r>
  <r>
    <s v="PAZ GUILLEN MARISSA ANDREA"/>
    <n v="71272"/>
    <s v="2026-05"/>
    <s v="01 - RENOVADA"/>
    <x v="3"/>
    <x v="3"/>
    <s v="SALUD RED MÉDICA"/>
    <s v="2025-11-02"/>
  </r>
  <r>
    <s v="FERNANDEZ MARCELO MARUJA NANCY"/>
    <n v="1465908"/>
    <s v="2026-10"/>
    <s v="01 - RENOVADA"/>
    <x v="3"/>
    <x v="3"/>
    <s v="WEB VEHICULOS"/>
    <s v="2025-11-02"/>
  </r>
  <r>
    <s v="CASTILLO HUAMAN JUAN PABLO"/>
    <n v="37717"/>
    <s v="2025-12"/>
    <s v="03 - PENDIENTE"/>
    <x v="3"/>
    <x v="3"/>
    <s v="SALUD RED PREFERENTE"/>
    <s v="2025-11-03"/>
  </r>
  <r>
    <s v="CASALLO ORTEGA PATRICIA ELENA IRENE"/>
    <n v="37825"/>
    <s v="No Encontrado"/>
    <s v="05 - ANULADA EN VIGENCIA"/>
    <x v="3"/>
    <x v="3"/>
    <s v="SALUD RED PREFERENTE"/>
    <s v="2025-11-03"/>
  </r>
  <r>
    <s v="DEL CARPIO CARREÑO PEDRO GUSTAVO"/>
    <n v="51145"/>
    <s v="2025-12"/>
    <s v="03 - PENDIENTE"/>
    <x v="3"/>
    <x v="3"/>
    <s v="SALUD RED MEDICA F F V V"/>
    <s v="2025-11-03"/>
  </r>
  <r>
    <s v="SAAVEDRA WERNER JUAN DIEGO"/>
    <n v="37765"/>
    <s v="2026-01"/>
    <s v="01 - RENOVADA"/>
    <x v="3"/>
    <x v="3"/>
    <s v="SALUD RED PREFERENTE"/>
    <s v="2025-11-03"/>
  </r>
  <r>
    <s v="REY REY RAFAEL"/>
    <n v="15121"/>
    <s v="2026-02"/>
    <s v="01 - RENOVADA"/>
    <x v="3"/>
    <x v="3"/>
    <s v="FULL SALUD F F V V"/>
    <s v="2025-11-03"/>
  </r>
  <r>
    <s v="TRINIDAD RAMON CARLOS ENRIQUE"/>
    <n v="13133"/>
    <s v="2026-02"/>
    <s v="01 - RENOVADA"/>
    <x v="3"/>
    <x v="3"/>
    <s v="FULL SALUD F F V V"/>
    <s v="2025-11-03"/>
  </r>
  <r>
    <s v="FLEISHMAN NEGRON JOANNE"/>
    <n v="66835"/>
    <s v="2026-05"/>
    <s v="01 - RENOVADA"/>
    <x v="3"/>
    <x v="3"/>
    <s v="SALUD RED MÉDICA"/>
    <s v="2025-11-03"/>
  </r>
  <r>
    <s v="ARIAS VELASQUEZ RICARDO MANUEL"/>
    <n v="71892"/>
    <s v="2026-05"/>
    <s v="01 - RENOVADA"/>
    <x v="3"/>
    <x v="3"/>
    <s v="SALUD RED MÉDICA"/>
    <s v="2025-11-03"/>
  </r>
  <r>
    <s v="CORDOVA RODRIGUEZ DIANA JULISSA"/>
    <n v="1538650"/>
    <s v="2026-07"/>
    <s v="01 - RENOVADA"/>
    <x v="3"/>
    <x v="3"/>
    <s v="WEB VEHICULOS"/>
    <s v="2025-11-03"/>
  </r>
  <r>
    <s v="LAZO TORREBLANCA EDUARDO"/>
    <n v="1547921"/>
    <s v="2026-08"/>
    <s v="01 - RENOVADA"/>
    <x v="3"/>
    <x v="3"/>
    <s v="WEB VEHICULOS"/>
    <s v="2025-11-03"/>
  </r>
  <r>
    <s v="LAZO TORREBLANCA EDUARDO"/>
    <n v="1547928"/>
    <s v="2026-08"/>
    <s v="01 - RENOVADA"/>
    <x v="3"/>
    <x v="3"/>
    <s v="WEB VEHICULOS"/>
    <s v="2025-11-03"/>
  </r>
  <r>
    <s v="ZARATE CHAVEZ SERGIO HECTOR"/>
    <n v="79179"/>
    <s v="2026-07"/>
    <s v="01 - RENOVADA"/>
    <x v="3"/>
    <x v="3"/>
    <s v="SALUD RED MÉDICA"/>
    <s v="2025-11-03"/>
  </r>
  <r>
    <s v="INDUSTRIAS NETTALCO S.A."/>
    <n v="500867"/>
    <s v="2025-12"/>
    <s v="No Encontrado"/>
    <x v="3"/>
    <x v="3"/>
    <s v="TRANSPORTE FLOTANTE"/>
    <s v="2025-11-03"/>
  </r>
  <r>
    <s v="XIAOMI TECHNOLOGIES PERU S.A.C."/>
    <n v="1300641243"/>
    <s v="2026-10"/>
    <s v="No Encontrado"/>
    <x v="3"/>
    <x v="3"/>
    <s v="VIDALEYRE"/>
    <s v="2025-11-03"/>
  </r>
  <r>
    <s v="ENERGIAS FIRMES DEL PERU S.A.C. - EFIPE S.A.C."/>
    <s v="E0032428"/>
    <s v="2026-04"/>
    <s v="01 - RENOVADA"/>
    <x v="3"/>
    <x v="3"/>
    <s v="EPS"/>
    <s v="2025-11-03"/>
  </r>
  <r>
    <s v="PAT. EN FID. D.LEG.861-SUMAQ NO INS. EN LA SMV DIR. A INV. INST."/>
    <s v="E0031107"/>
    <s v="2026-04"/>
    <s v="01 - RENOVADA"/>
    <x v="3"/>
    <x v="3"/>
    <s v="EPS"/>
    <s v="2025-11-03"/>
  </r>
  <r>
    <s v="CECILIA CECILIA S.A.C."/>
    <s v="E0037340"/>
    <s v="2026-03"/>
    <s v="01 - RENOVADA"/>
    <x v="3"/>
    <x v="3"/>
    <s v="EPS"/>
    <s v="2025-11-03"/>
  </r>
  <r>
    <s v="COMPUPALACE PERU S.A."/>
    <s v="E0003770"/>
    <s v="2026-04"/>
    <s v="01 - RENOVADA"/>
    <x v="3"/>
    <x v="3"/>
    <s v="EPS"/>
    <s v="2025-11-03"/>
  </r>
  <r>
    <s v="DESARROLLO SOCIAL INMOBILIARIO S.A.C."/>
    <s v="E0029811"/>
    <s v="2026-04"/>
    <s v="01 - RENOVADA"/>
    <x v="3"/>
    <x v="3"/>
    <s v="EPS"/>
    <s v="2025-11-03"/>
  </r>
  <r>
    <s v="F.G.H. CORPORATION S.A.C."/>
    <s v="E0024044"/>
    <s v="2026-08"/>
    <s v="01 - RENOVADA"/>
    <x v="3"/>
    <x v="3"/>
    <s v="EPS"/>
    <s v="2025-11-03"/>
  </r>
  <r>
    <s v="FITESA PERU S.A.C."/>
    <s v="E0005074"/>
    <s v="2026-05"/>
    <s v="No Encontrado"/>
    <x v="3"/>
    <x v="3"/>
    <s v="EPS"/>
    <s v="2025-11-03"/>
  </r>
  <r>
    <s v="INTEL SEMICONDUCTORES DEL PERU S.A"/>
    <s v="E0031545"/>
    <s v="2026-07"/>
    <s v="01 - RENOVADA"/>
    <x v="3"/>
    <x v="3"/>
    <s v="EPS"/>
    <s v="2025-11-03"/>
  </r>
  <r>
    <s v="KONST INGENIEROS Y ARQUITECTOS S.A.C.   KONST S.A.C."/>
    <s v="E0026371"/>
    <s v="2025-12"/>
    <s v="03 - PENDIENTE"/>
    <x v="3"/>
    <x v="3"/>
    <s v="EPS"/>
    <s v="2025-11-03"/>
  </r>
  <r>
    <s v="MARVAL PERU SAC"/>
    <s v="E0029411"/>
    <s v="2025-12"/>
    <s v="03 - PENDIENTE"/>
    <x v="3"/>
    <x v="3"/>
    <s v="EPS"/>
    <s v="2025-11-03"/>
  </r>
  <r>
    <s v="QHSE - ENERGY SERVICES S.A.C."/>
    <s v="E0032980"/>
    <s v="2025-12"/>
    <s v="03 - PENDIENTE"/>
    <x v="3"/>
    <x v="3"/>
    <s v="EPS"/>
    <s v="2025-11-03"/>
  </r>
  <r>
    <s v="SOLMARTOUR S A"/>
    <s v="E0002616"/>
    <s v="2026-02"/>
    <s v="01 - RENOVADA"/>
    <x v="3"/>
    <x v="3"/>
    <s v="EPS"/>
    <s v="2025-11-03"/>
  </r>
  <r>
    <s v="TIQUE S.A.C."/>
    <s v="E0028654"/>
    <s v="2026-05"/>
    <s v="01 - RENOVADA"/>
    <x v="3"/>
    <x v="3"/>
    <s v="EPS"/>
    <s v="2025-11-03"/>
  </r>
  <r>
    <s v="JORLE S.A.C."/>
    <s v="E0022613"/>
    <s v="2026-10"/>
    <s v="01 - RENOVADA"/>
    <x v="3"/>
    <x v="3"/>
    <s v="EPS"/>
    <s v="2025-11-03"/>
  </r>
  <r>
    <s v="RABOFINANCE PERU S.A.C. - RABOFINANCE PERU"/>
    <s v="E0024561"/>
    <s v="2026-10"/>
    <s v="01 - RENOVADA"/>
    <x v="3"/>
    <x v="3"/>
    <s v="EPS"/>
    <s v="2025-11-03"/>
  </r>
  <r>
    <s v="SVENDBORG BRAKES PERU S.A.C."/>
    <s v="E0030392"/>
    <s v="2026-10"/>
    <s v="01 - RENOVADA"/>
    <x v="3"/>
    <x v="3"/>
    <s v="EPS"/>
    <s v="2025-11-03"/>
  </r>
  <r>
    <s v="LAZO SOTIL RAUL MANUEL"/>
    <n v="1563894"/>
    <s v="2026-09"/>
    <s v="01 - RENOVADA"/>
    <x v="3"/>
    <x v="3"/>
    <s v="WEB VEHICULOS"/>
    <s v="2025-11-04"/>
  </r>
  <r>
    <s v="DESARROLLO SOCIAL INMOBILIARIO S.A.C."/>
    <n v="94616743"/>
    <s v="2026-03"/>
    <s v="03 - PENDIENTE"/>
    <x v="3"/>
    <x v="3"/>
    <s v="VIDA LEY D.L. 688"/>
    <s v="2025-11-04"/>
  </r>
  <r>
    <s v="CONSORCIO VIDA &amp; COLOR S.A.C."/>
    <s v="S0421521"/>
    <s v="2025-11"/>
    <s v="03 - PENDIENTE"/>
    <x v="3"/>
    <x v="3"/>
    <s v="S.C.T.R. - SALUD"/>
    <s v="2025-10-22"/>
  </r>
  <r>
    <s v="FERNANDEZ CORNEJO JORGE ALFONSO"/>
    <n v="66684"/>
    <s v="2025-12"/>
    <s v="03 - PENDIENTE"/>
    <x v="3"/>
    <x v="3"/>
    <s v="SALUD RED PREFERENTE"/>
    <s v="2025-11-04"/>
  </r>
  <r>
    <s v="INNOVANDO SOLUCIONES TECNOLOGICAS E.I.R.L"/>
    <n v="47141"/>
    <s v="2026-02"/>
    <s v="01 - RENOVADA"/>
    <x v="3"/>
    <x v="3"/>
    <s v="FULLSALUD"/>
    <s v="2025-11-04"/>
  </r>
  <r>
    <s v="MOGOLLON FERRER HUGO ENRIQUE"/>
    <n v="100538"/>
    <s v="2026-01"/>
    <s v="01 - RENOVADA"/>
    <x v="3"/>
    <x v="3"/>
    <s v="SALUD RED MÉDICA"/>
    <s v="2025-11-04"/>
  </r>
  <r>
    <s v="LLAP NEGRON MOISES ALEJANDRO"/>
    <n v="73140"/>
    <s v="2026-03"/>
    <s v="01 - RENOVADA"/>
    <x v="3"/>
    <x v="3"/>
    <s v="SALUD RED PREFERENTE"/>
    <s v="2025-11-04"/>
  </r>
  <r>
    <s v="OLCESE FERNANDEZ CESAR ARTURO"/>
    <n v="69196"/>
    <s v="2026-05"/>
    <s v="01 - RENOVADA"/>
    <x v="3"/>
    <x v="3"/>
    <s v="SALUD RED PREFERENTE"/>
    <s v="2025-11-04"/>
  </r>
  <r>
    <s v="SALDAÑA FERIA CARMEN FLOR"/>
    <n v="41525"/>
    <s v="2026-04"/>
    <s v="01 - RENOVADA"/>
    <x v="3"/>
    <x v="3"/>
    <s v="SALUD RED PREFERENTE"/>
    <s v="2025-11-04"/>
  </r>
  <r>
    <s v="MELGAR PRADO MIRIAM EMPERATRIZ"/>
    <n v="69328"/>
    <s v="2026-04"/>
    <s v="01 - RENOVADA"/>
    <x v="3"/>
    <x v="3"/>
    <s v="SALUD RED PREFERENTE"/>
    <s v="2025-11-04"/>
  </r>
  <r>
    <s v="VALENCIA MAC KEE JORGE HERNAN"/>
    <n v="69329"/>
    <s v="2026-04"/>
    <s v="01 - RENOVADA"/>
    <x v="3"/>
    <x v="3"/>
    <s v="SALUD RED PREFERENTE"/>
    <s v="2025-11-04"/>
  </r>
  <r>
    <s v="CESPEDES JIMENEZ NOREN DEL ROSARIO"/>
    <n v="1519228"/>
    <s v="2026-04"/>
    <s v="01 - RENOVADA"/>
    <x v="3"/>
    <x v="3"/>
    <s v="WEB VEHICULOS"/>
    <s v="2025-11-04"/>
  </r>
  <r>
    <s v="SALDAÑA FERIA CARMEN FLOR"/>
    <n v="61423"/>
    <s v="2026-05"/>
    <s v="01 - RENOVADA"/>
    <x v="3"/>
    <x v="3"/>
    <s v="SALUD RED PREFERENTE"/>
    <s v="2025-11-04"/>
  </r>
  <r>
    <s v="MADUEÑO CARCELEN RENZO ANTONIO"/>
    <n v="25652"/>
    <s v="2026-06"/>
    <s v="01 - RENOVADA"/>
    <x v="3"/>
    <x v="3"/>
    <s v="SALUD FLEXIBLE"/>
    <s v="2025-11-04"/>
  </r>
  <r>
    <s v="AC TOURS S.A.C."/>
    <n v="4012001816"/>
    <s v="2026-06"/>
    <s v="01 - RENOVADA"/>
    <x v="3"/>
    <x v="3"/>
    <s v="SALUD PREFERENCIAL"/>
    <s v="2025-11-04"/>
  </r>
  <r>
    <s v="CUADROS ANTUNEZ DE MAYOLO VICTOR CIRO JOSE"/>
    <n v="13482"/>
    <s v="2026-04"/>
    <s v="01 - RENOVADA"/>
    <x v="3"/>
    <x v="3"/>
    <s v="FULLSALUD"/>
    <s v="2025-11-04"/>
  </r>
  <r>
    <s v="GREEN BARRUETA MAGALY"/>
    <n v="4832"/>
    <s v="2026-06"/>
    <s v="01 - RENOVADA"/>
    <x v="3"/>
    <x v="3"/>
    <s v="SALUD DE ORO"/>
    <s v="2025-11-04"/>
  </r>
  <r>
    <s v="CACERES SALAZAR PEGGY MAGALY"/>
    <n v="54366"/>
    <s v="2026-01"/>
    <s v="01 - RENOVADA"/>
    <x v="3"/>
    <x v="3"/>
    <s v="FULLSALUD"/>
    <s v="2025-11-04"/>
  </r>
  <r>
    <s v="ANGULO JULCA FERNANDO MIGUEL"/>
    <n v="4049"/>
    <s v="2026-09"/>
    <s v="01 - RENOVADA"/>
    <x v="3"/>
    <x v="3"/>
    <s v="SALUD RED MEDICA HOSPITALARIA"/>
    <s v="2025-11-04"/>
  </r>
  <r>
    <s v="FIMA S A"/>
    <n v="75504"/>
    <s v="2026-08"/>
    <s v="01 - RENOVADA"/>
    <x v="3"/>
    <x v="3"/>
    <s v="SALUD RED PREFERENTE"/>
    <s v="2025-11-04"/>
  </r>
  <r>
    <s v="VALDIVIEZO RAMOS SOL MARIA NATHALIE"/>
    <n v="91801"/>
    <s v="2026-09"/>
    <s v="01 - RENOVADA"/>
    <x v="3"/>
    <x v="3"/>
    <s v="SALUD RED MÉDICA"/>
    <s v="2025-11-04"/>
  </r>
  <r>
    <s v="LOZADA POZO GUILLERMO MARTIN"/>
    <n v="10896"/>
    <s v="2026-10"/>
    <s v="01 - RENOVADA"/>
    <x v="3"/>
    <x v="3"/>
    <s v="SALUD DE ORO"/>
    <s v="2025-11-04"/>
  </r>
  <r>
    <s v="PACHECO GAMBOA APARICIO YURIELLA"/>
    <n v="98739"/>
    <s v="2026-09"/>
    <s v="01 - RENOVADA"/>
    <x v="3"/>
    <x v="3"/>
    <s v="SALUD RED MÉDICA"/>
    <s v="2025-11-04"/>
  </r>
  <r>
    <s v="BERENDSON DE MOREL MARIA ELENA"/>
    <n v="46625"/>
    <s v="2026-10"/>
    <s v="01 - RENOVADA"/>
    <x v="3"/>
    <x v="3"/>
    <s v="FULLSALUD"/>
    <s v="2025-11-04"/>
  </r>
  <r>
    <s v="BARCENAS CASTILLO JUAN DIEGO"/>
    <n v="105347"/>
    <s v="2026-08"/>
    <s v="03 - PENDIENTE"/>
    <x v="3"/>
    <x v="3"/>
    <s v="SALUD RED MÉDICA"/>
    <s v="2025-11-04"/>
  </r>
  <r>
    <s v="VEGAS PATIÑO FERNANDO AUGUSTO"/>
    <n v="7432"/>
    <s v="2026-10"/>
    <s v="01 - RENOVADA"/>
    <x v="3"/>
    <x v="3"/>
    <s v="SALUD DE ORO"/>
    <s v="2025-11-04"/>
  </r>
  <r>
    <s v="ARRIECHE TOVAR ROSANA DEYANIRA"/>
    <n v="53567"/>
    <s v="2026-11"/>
    <s v="01 - RENOVADA"/>
    <x v="3"/>
    <x v="3"/>
    <s v="FULLSALUD"/>
    <s v="2025-11-04"/>
  </r>
  <r>
    <s v="MACEDO HERRERA GIULIANA IRINA"/>
    <n v="54606"/>
    <s v="2026-10"/>
    <s v="No Encontrado"/>
    <x v="3"/>
    <x v="3"/>
    <s v="FULLSALUD"/>
    <s v="2025-11-04"/>
  </r>
  <r>
    <s v="EGUREN ELGUERA FRANCISCO"/>
    <n v="51101"/>
    <s v="2026-10"/>
    <s v="01 - RENOVADA"/>
    <x v="3"/>
    <x v="3"/>
    <s v="FULLSALUD"/>
    <s v="2025-11-04"/>
  </r>
  <r>
    <s v="LEYTON ALVA JUAN DOMINGO ALEJANDRO"/>
    <n v="1506952"/>
    <s v="2026-03"/>
    <s v="01 - RENOVADA"/>
    <x v="3"/>
    <x v="3"/>
    <s v="WEB VEHICULOS"/>
    <s v="2025-11-05"/>
  </r>
  <r>
    <s v="MACEDO HERRERA GIULIANA IRINA"/>
    <n v="54488"/>
    <s v="2026-07"/>
    <s v="01 - RENOVADA"/>
    <x v="3"/>
    <x v="3"/>
    <s v="FULLSALUD"/>
    <s v="2025-11-05"/>
  </r>
  <r>
    <s v="BARCENAS CASTILLO JUAN DIEGO"/>
    <n v="105360"/>
    <s v="2026-08"/>
    <s v="03 - PENDIENTE"/>
    <x v="3"/>
    <x v="3"/>
    <s v="SALUD RED MÉDICA"/>
    <s v="2025-11-05"/>
  </r>
  <r>
    <s v="OROSCO NUÑEZ JOHN MARCELINO"/>
    <n v="1573568"/>
    <s v="2026-10"/>
    <s v="01 - RENOVADA"/>
    <x v="3"/>
    <x v="3"/>
    <s v="WEB VEHICULOS"/>
    <s v="2025-11-05"/>
  </r>
  <r>
    <s v="MONTERO GRAÑA MARIA LUZ"/>
    <n v="1573575"/>
    <s v="2026-10"/>
    <s v="01 - RENOVADA"/>
    <x v="3"/>
    <x v="3"/>
    <s v="WEB VEHICULOS"/>
    <s v="2025-11-05"/>
  </r>
  <r>
    <s v="XIAOMI TECHNOLOGIES PERU S.A.C."/>
    <n v="54654"/>
    <s v="2026-09"/>
    <s v="No Encontrado"/>
    <x v="3"/>
    <x v="3"/>
    <s v="FULLSALUD"/>
    <s v="2025-11-05"/>
  </r>
  <r>
    <s v="HOUSEONLINE S.A."/>
    <s v="E0003208"/>
    <s v="2026-10"/>
    <s v="01 - RENOVADA"/>
    <x v="3"/>
    <x v="3"/>
    <s v="EPS"/>
    <s v="2025-11-05"/>
  </r>
  <r>
    <s v="DEL CASTILLO AMES HOMERO ALONSO"/>
    <n v="1573574"/>
    <s v="2026-10"/>
    <s v="01 - RENOVADA"/>
    <x v="3"/>
    <x v="3"/>
    <s v="WEB VEHICULOS"/>
    <s v="2025-11-06"/>
  </r>
  <r>
    <s v="ACRES FINANCE S.A."/>
    <n v="67288266"/>
    <s v="2026-03"/>
    <s v="03 - PENDIENTE"/>
    <x v="3"/>
    <x v="3"/>
    <s v="VIDA LEY D.L. 688"/>
    <s v="2025-11-06"/>
  </r>
  <r>
    <s v="OVM SAC"/>
    <n v="1300411382"/>
    <s v="2026-06"/>
    <s v="01 - RENOVADA"/>
    <x v="3"/>
    <x v="3"/>
    <s v="VIDALEYRE"/>
    <s v="2025-11-06"/>
  </r>
  <r>
    <s v="SOLMARTOUR S A"/>
    <n v="172758"/>
    <s v="2026-01"/>
    <s v="01 - RENOVADA"/>
    <x v="3"/>
    <x v="3"/>
    <s v="VIDA LEY D.L. 688"/>
    <s v="2025-11-06"/>
  </r>
  <r>
    <s v="FLORES CARCAGNO AMADEO JAVIER"/>
    <s v="E0033759"/>
    <s v="2026-02"/>
    <s v="01 - RENOVADA"/>
    <x v="3"/>
    <x v="3"/>
    <s v="EPS"/>
    <s v="2025-11-06"/>
  </r>
  <r>
    <s v="FIGUEROA DANERI TERESA ISABEL"/>
    <s v="E0037561"/>
    <s v="2026-03"/>
    <s v="01 - RENOVADA"/>
    <x v="3"/>
    <x v="3"/>
    <s v="EPS"/>
    <s v="2025-11-06"/>
  </r>
  <r>
    <s v="QUISPE MARTINEZ RICHARD SAUL"/>
    <s v="E0037766"/>
    <s v="2026-04"/>
    <s v="01 - RENOVADA"/>
    <x v="3"/>
    <x v="3"/>
    <s v="EPS"/>
    <s v="2025-11-06"/>
  </r>
  <r>
    <s v="UGAZ BEER ENRIQUE ALBERTO"/>
    <s v="E0028499"/>
    <s v="2026-02"/>
    <s v="01 - RENOVADA"/>
    <x v="3"/>
    <x v="3"/>
    <s v="EPS"/>
    <s v="2025-11-06"/>
  </r>
  <r>
    <s v="MACARA-CHVILI MAZZINI MICHEL"/>
    <n v="1490594"/>
    <s v="2026-01"/>
    <s v="01 - RENOVADA"/>
    <x v="3"/>
    <x v="3"/>
    <s v="WEB VEHICULOS"/>
    <s v="2025-11-06"/>
  </r>
  <r>
    <s v="ENCINAS MARROQUIN CAROLINA NANCY"/>
    <n v="1506821"/>
    <s v="2026-03"/>
    <s v="01 - RENOVADA"/>
    <x v="3"/>
    <x v="3"/>
    <s v="WEB VEHICULOS"/>
    <s v="2025-11-06"/>
  </r>
  <r>
    <s v="ZAPATA MOYA ARMANDO RODOLFO MIGUEL"/>
    <n v="52017"/>
    <s v="2026-08"/>
    <s v="01 - RENOVADA"/>
    <x v="3"/>
    <x v="3"/>
    <s v="FULLSALUD"/>
    <s v="2025-11-06"/>
  </r>
  <r>
    <s v="PFLUCKER VALDIVIA CAROLINE"/>
    <n v="54020"/>
    <s v="2026-03"/>
    <s v="01 - RENOVADA"/>
    <x v="3"/>
    <x v="3"/>
    <s v="FULLSALUD"/>
    <s v="2025-11-07"/>
  </r>
  <r>
    <s v="FELIX GUERRERO MONICA LIZBET"/>
    <n v="76097"/>
    <s v="2026-10"/>
    <s v="No Encontrado"/>
    <x v="3"/>
    <x v="3"/>
    <s v="SALUD RED PREFERENTE"/>
    <s v="2025-11-07"/>
  </r>
  <r>
    <s v="AZAÑA MARRUFO FELIPE CARLOS"/>
    <n v="64442"/>
    <s v="2026-09"/>
    <s v="01 - RENOVADA"/>
    <x v="3"/>
    <x v="3"/>
    <s v="SALUD RED PREFERENTE"/>
    <s v="2025-11-07"/>
  </r>
  <r>
    <s v="ADMINISTRA &amp; ETC S.A.C."/>
    <n v="31701"/>
    <s v="2026-05"/>
    <s v="01 - RENOVADA"/>
    <x v="3"/>
    <x v="3"/>
    <s v="SALUD RED PREFERENTE"/>
    <s v="2025-11-08"/>
  </r>
  <r>
    <s v="MANSILLA MANRIQUE ROCIO ZENAIDA"/>
    <n v="71093"/>
    <s v="2026-09"/>
    <s v="01 - RENOVADA"/>
    <x v="3"/>
    <x v="3"/>
    <s v="SALUD RED PREFERENTE"/>
    <s v="2025-11-08"/>
  </r>
  <r>
    <s v="GRAÑA ACUÑA HERNANDO ALEJANDRO CONSTANCIO"/>
    <n v="4012000455"/>
    <s v="2026-11"/>
    <s v="01 - RENOVADA"/>
    <x v="3"/>
    <x v="3"/>
    <s v="SALUD PREFERENCIAL"/>
    <s v="2025-11-08"/>
  </r>
  <r>
    <s v="ALVARADO GUTIERREZ AURELIA"/>
    <n v="1573562"/>
    <s v="2026-10"/>
    <s v="01 - RENOVADA"/>
    <x v="3"/>
    <x v="3"/>
    <s v="WEB VEHICULOS"/>
    <s v="2025-11-08"/>
  </r>
  <r>
    <s v="QUIROZ CORAL MANUEL ADOLFO"/>
    <n v="93933"/>
    <s v="2025-12"/>
    <s v="03 - PENDIENTE"/>
    <x v="3"/>
    <x v="3"/>
    <s v="SALUD RED MÉDICA"/>
    <s v="2025-11-08"/>
  </r>
  <r>
    <s v="TRINIDAD RAMON CARLOS ENRIQUE"/>
    <n v="14749"/>
    <s v="2026-04"/>
    <s v="01 - RENOVADA"/>
    <x v="3"/>
    <x v="3"/>
    <s v="FULL SALUD F F V V"/>
    <s v="2025-11-08"/>
  </r>
  <r>
    <s v="MORALES LANAO WALTER"/>
    <n v="1578451"/>
    <s v="2026-10"/>
    <s v="01 - RENOVADA"/>
    <x v="3"/>
    <x v="3"/>
    <s v="WEB VEHICULOS"/>
    <s v="2025-11-09"/>
  </r>
  <r>
    <s v="TEMPUTRONIC S.A.C."/>
    <n v="1565377"/>
    <s v="2026-09"/>
    <s v="01 - RENOVADA"/>
    <x v="3"/>
    <x v="3"/>
    <s v="WEB VEHICULOS"/>
    <s v="2025-11-09"/>
  </r>
  <r>
    <s v="UNILEVER ANDINA PERU S.A."/>
    <n v="264667"/>
    <s v="2026-10"/>
    <s v="No Encontrado"/>
    <x v="3"/>
    <x v="3"/>
    <s v="VIDA LEY 2DA CAPA"/>
    <s v="2025-11-09"/>
  </r>
  <r>
    <s v="PUERTO 260 S.A.C."/>
    <n v="1300363641"/>
    <s v="2025-12"/>
    <s v="03 - PENDIENTE"/>
    <x v="3"/>
    <x v="3"/>
    <s v="VIDA LEY D.L. 688"/>
    <s v="2025-11-09"/>
  </r>
  <r>
    <s v="SANCHEZ VILLACORTA LOUIS MICHAEL"/>
    <n v="1573582"/>
    <s v="2026-10"/>
    <s v="01 - RENOVADA"/>
    <x v="3"/>
    <x v="3"/>
    <s v="WEB VEHICULOS"/>
    <s v="2025-11-10"/>
  </r>
  <r>
    <s v="DUN &amp; BRADSTREET S.A.C."/>
    <n v="540924"/>
    <s v="2026-10"/>
    <s v="01 - RENOVADA"/>
    <x v="3"/>
    <x v="3"/>
    <s v="MULTI RIESGO"/>
    <s v="2025-11-10"/>
  </r>
  <r>
    <s v="XIAOMI TECHNOLOGIES PERU S.A.C."/>
    <n v="54649"/>
    <s v="2026-09"/>
    <s v="No Encontrado"/>
    <x v="3"/>
    <x v="3"/>
    <s v="FULLSALUD"/>
    <s v="2025-11-10"/>
  </r>
  <r>
    <s v="PATRIMONIO EN FIDEICOMISO - D. LEG. N°. 861 NO INSCRITO EN LA SMV DIRIGIDO A INVERSIONISTAS INSTIT"/>
    <n v="1300044381"/>
    <s v="2026-03"/>
    <s v="03 - PENDIENTE"/>
    <x v="3"/>
    <x v="3"/>
    <s v="VIDA LEY D.L. 688"/>
    <s v="2025-11-10"/>
  </r>
  <r>
    <s v="ENERGIAS FIRMES DEL PERU S.A.C. - EFIPE S.A.C."/>
    <n v="1300649027"/>
    <s v="2026-09"/>
    <s v="No Encontrado"/>
    <x v="3"/>
    <x v="3"/>
    <s v="VIDALEYRE"/>
    <s v="2025-11-10"/>
  </r>
  <r>
    <s v="UNILEVER ANDINA PERU S.A."/>
    <n v="1300645488"/>
    <s v="2026-10"/>
    <s v="No Encontrado"/>
    <x v="3"/>
    <x v="3"/>
    <s v="VIDALEYRE"/>
    <s v="2025-11-10"/>
  </r>
  <r>
    <s v="TÉCNICAS REUNIDAS DE TALARA SOCIEDAD ANONIMA CERRADA"/>
    <s v="E0018775"/>
    <s v="2026-01"/>
    <s v="No Encontrado"/>
    <x v="3"/>
    <x v="3"/>
    <s v="EPS"/>
    <s v="2025-11-10"/>
  </r>
  <r>
    <s v="RODRIGUEZ VALDEZ JULIO CESAR"/>
    <n v="1494409"/>
    <s v="2026-02"/>
    <s v="01 - RENOVADA"/>
    <x v="3"/>
    <x v="3"/>
    <s v="WEB VEHICULOS"/>
    <s v="2025-11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88C11-81D2-4A06-94D0-C219B69ACEDB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Observaciones" colHeaderCaption=" ">
  <location ref="A3:E8" firstHeaderRow="1" firstDataRow="2" firstDataCol="1"/>
  <pivotFields count="8">
    <pivotField showAll="0"/>
    <pivotField dataField="1" showAll="0"/>
    <pivotField showAll="0"/>
    <pivotField showAll="0"/>
    <pivotField axis="axisRow" showAll="0" sortType="ascending">
      <items count="5">
        <item x="0"/>
        <item x="1"/>
        <item x="2"/>
        <item h="1" x="3"/>
        <item t="default"/>
      </items>
    </pivotField>
    <pivotField axis="axisCol" showAll="0">
      <items count="7">
        <item x="3"/>
        <item x="2"/>
        <item x="1"/>
        <item x="0"/>
        <item m="1" x="5"/>
        <item m="1" x="4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 v="1"/>
    </i>
    <i>
      <x v="2"/>
    </i>
    <i>
      <x v="3"/>
    </i>
    <i t="grand">
      <x/>
    </i>
  </colItems>
  <dataFields count="1">
    <dataField name=" " fld="1" subtotal="count" baseField="0" baseItem="0"/>
  </dataFields>
  <formats count="16">
    <format dxfId="15">
      <pivotArea outline="0" collapsedLevelsAreSubtotals="1" fieldPosition="0"/>
    </format>
    <format dxfId="14">
      <pivotArea field="5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4" type="button" dataOnly="0" labelOnly="1" outline="0" axis="axisRow" fieldPosition="0"/>
    </format>
    <format dxfId="11">
      <pivotArea field="4" type="button" dataOnly="0" labelOnly="1" outline="0" axis="axisRow" fieldPosition="0"/>
    </format>
    <format dxfId="10">
      <pivotArea field="4" type="button" dataOnly="0" labelOnly="1" outline="0" axis="axisRow" fieldPosition="0"/>
    </format>
    <format dxfId="9">
      <pivotArea dataOnly="0" labelOnly="1" fieldPosition="0">
        <references count="1">
          <reference field="5" count="4">
            <x v="1"/>
            <x v="2"/>
            <x v="3"/>
            <x v="5"/>
          </reference>
        </references>
      </pivotArea>
    </format>
    <format dxfId="8">
      <pivotArea dataOnly="0" labelOnly="1" grandCol="1" outline="0" fieldPosition="0"/>
    </format>
    <format dxfId="7">
      <pivotArea dataOnly="0" labelOnly="1" fieldPosition="0">
        <references count="1">
          <reference field="5" count="4">
            <x v="1"/>
            <x v="2"/>
            <x v="3"/>
            <x v="5"/>
          </reference>
        </references>
      </pivotArea>
    </format>
    <format dxfId="6">
      <pivotArea dataOnly="0" labelOnly="1" grandCol="1" outline="0" fieldPosition="0"/>
    </format>
    <format dxfId="5">
      <pivotArea dataOnly="0" labelOnly="1" fieldPosition="0">
        <references count="1">
          <reference field="5" count="4">
            <x v="1"/>
            <x v="2"/>
            <x v="3"/>
            <x v="5"/>
          </reference>
        </references>
      </pivotArea>
    </format>
    <format dxfId="4">
      <pivotArea dataOnly="0" labelOnly="1" grandCol="1" outline="0" fieldPosition="0"/>
    </format>
    <format dxfId="3">
      <pivotArea collapsedLevelsAreSubtotals="1" fieldPosition="0">
        <references count="1">
          <reference field="4" count="1">
            <x v="0"/>
          </reference>
        </references>
      </pivotArea>
    </format>
    <format dxfId="2">
      <pivotArea dataOnly="0" labelOnly="1" fieldPosition="0">
        <references count="1">
          <reference field="4" count="1">
            <x v="0"/>
          </reference>
        </references>
      </pivotArea>
    </format>
    <format dxfId="1">
      <pivotArea collapsedLevelsAreSubtotals="1" fieldPosition="0">
        <references count="1">
          <reference field="4" count="1">
            <x v="2"/>
          </reference>
        </references>
      </pivotArea>
    </format>
    <format dxfId="0">
      <pivotArea dataOnly="0" labelOnly="1" fieldPosition="0">
        <references count="1">
          <reference field="4" count="1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DF83-A26C-416F-B82F-DF3081781F6B}">
  <dimension ref="A3:F8"/>
  <sheetViews>
    <sheetView showGridLines="0" zoomScale="115" zoomScaleNormal="115" workbookViewId="0">
      <selection activeCell="B12" sqref="B12"/>
    </sheetView>
  </sheetViews>
  <sheetFormatPr baseColWidth="10" defaultRowHeight="15.75" x14ac:dyDescent="0.25"/>
  <cols>
    <col min="1" max="1" width="31.625" bestFit="1" customWidth="1"/>
    <col min="2" max="2" width="6" style="7" bestFit="1" customWidth="1"/>
    <col min="3" max="3" width="5.375" style="7" bestFit="1" customWidth="1"/>
    <col min="4" max="4" width="5.125" style="7" bestFit="1" customWidth="1"/>
    <col min="5" max="6" width="11.5" style="7" bestFit="1" customWidth="1"/>
    <col min="7" max="7" width="11.625" bestFit="1" customWidth="1"/>
  </cols>
  <sheetData>
    <row r="3" spans="1:6" hidden="1" x14ac:dyDescent="0.25">
      <c r="A3" s="10" t="s">
        <v>36</v>
      </c>
      <c r="B3" s="11" t="s">
        <v>36</v>
      </c>
      <c r="F3"/>
    </row>
    <row r="4" spans="1:6" ht="31.5" x14ac:dyDescent="0.25">
      <c r="A4" s="13" t="s">
        <v>27</v>
      </c>
      <c r="B4" s="12" t="s">
        <v>29</v>
      </c>
      <c r="C4" s="12" t="s">
        <v>30</v>
      </c>
      <c r="D4" s="12" t="s">
        <v>33</v>
      </c>
      <c r="E4" s="12" t="s">
        <v>35</v>
      </c>
      <c r="F4"/>
    </row>
    <row r="5" spans="1:6" x14ac:dyDescent="0.25">
      <c r="A5" s="18" t="s">
        <v>39</v>
      </c>
      <c r="B5" s="19"/>
      <c r="C5" s="19">
        <v>1</v>
      </c>
      <c r="D5" s="19">
        <v>4</v>
      </c>
      <c r="E5" s="19">
        <v>5</v>
      </c>
      <c r="F5"/>
    </row>
    <row r="6" spans="1:6" x14ac:dyDescent="0.25">
      <c r="A6" s="6" t="s">
        <v>34</v>
      </c>
      <c r="B6" s="7">
        <v>7</v>
      </c>
      <c r="C6" s="7">
        <v>5</v>
      </c>
      <c r="D6" s="7">
        <v>7</v>
      </c>
      <c r="E6" s="7">
        <v>19</v>
      </c>
      <c r="F6"/>
    </row>
    <row r="7" spans="1:6" x14ac:dyDescent="0.25">
      <c r="A7" s="18" t="s">
        <v>32</v>
      </c>
      <c r="B7" s="19"/>
      <c r="C7" s="19">
        <v>2</v>
      </c>
      <c r="D7" s="19">
        <v>2</v>
      </c>
      <c r="E7" s="19">
        <v>4</v>
      </c>
      <c r="F7"/>
    </row>
    <row r="8" spans="1:6" x14ac:dyDescent="0.25">
      <c r="A8" s="6" t="s">
        <v>35</v>
      </c>
      <c r="B8" s="7">
        <v>7</v>
      </c>
      <c r="C8" s="7">
        <v>8</v>
      </c>
      <c r="D8" s="7">
        <v>13</v>
      </c>
      <c r="E8" s="7">
        <v>28</v>
      </c>
      <c r="F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2BA0-8D62-4954-97D4-2ADE08006B5B}">
  <sheetPr filterMode="1"/>
  <dimension ref="A1:N418"/>
  <sheetViews>
    <sheetView showGridLines="0" zoomScale="70" zoomScaleNormal="70" workbookViewId="0">
      <pane ySplit="2" topLeftCell="A3" activePane="bottomLeft" state="frozen"/>
      <selection pane="bottomLeft" activeCell="F27" sqref="F27"/>
    </sheetView>
  </sheetViews>
  <sheetFormatPr baseColWidth="10" defaultRowHeight="15.75" x14ac:dyDescent="0.25"/>
  <cols>
    <col min="1" max="1" width="43.625" customWidth="1"/>
    <col min="2" max="2" width="12.125" style="16" bestFit="1" customWidth="1"/>
    <col min="3" max="3" width="24.375" style="4" bestFit="1" customWidth="1"/>
    <col min="4" max="4" width="24.375" style="4" customWidth="1"/>
    <col min="5" max="5" width="31.875" style="6" customWidth="1"/>
    <col min="6" max="6" width="11.375" style="4" bestFit="1" customWidth="1"/>
    <col min="7" max="7" width="35.25" style="6" bestFit="1" customWidth="1"/>
    <col min="8" max="8" width="18.5" bestFit="1" customWidth="1"/>
    <col min="9" max="9" width="22.125" hidden="1" customWidth="1"/>
    <col min="10" max="10" width="12.75" hidden="1" customWidth="1"/>
    <col min="11" max="11" width="10.625" hidden="1" customWidth="1"/>
    <col min="12" max="12" width="15.125" hidden="1" customWidth="1"/>
    <col min="13" max="13" width="10.625" style="4" customWidth="1"/>
    <col min="14" max="14" width="13.875" customWidth="1"/>
  </cols>
  <sheetData>
    <row r="1" spans="1:14" x14ac:dyDescent="0.25">
      <c r="A1" s="17" t="s">
        <v>532</v>
      </c>
      <c r="B1" s="17" t="s">
        <v>532</v>
      </c>
      <c r="C1" s="2" t="s">
        <v>25</v>
      </c>
      <c r="D1" s="2" t="s">
        <v>26</v>
      </c>
      <c r="G1" s="17" t="s">
        <v>532</v>
      </c>
      <c r="H1" s="17" t="s">
        <v>532</v>
      </c>
    </row>
    <row r="2" spans="1:14" x14ac:dyDescent="0.25">
      <c r="A2" s="1" t="s">
        <v>0</v>
      </c>
      <c r="B2" s="15" t="s">
        <v>1</v>
      </c>
      <c r="C2" s="2" t="s">
        <v>25</v>
      </c>
      <c r="D2" s="2" t="s">
        <v>26</v>
      </c>
      <c r="E2" s="14" t="s">
        <v>27</v>
      </c>
      <c r="F2" s="2" t="s">
        <v>28</v>
      </c>
      <c r="G2" s="8" t="s">
        <v>2</v>
      </c>
      <c r="H2" s="3" t="s">
        <v>3</v>
      </c>
      <c r="I2" s="1" t="s">
        <v>52</v>
      </c>
      <c r="J2" s="1" t="s">
        <v>53</v>
      </c>
      <c r="K2" s="1" t="s">
        <v>46</v>
      </c>
      <c r="L2" s="1" t="s">
        <v>47</v>
      </c>
      <c r="M2" s="2" t="s">
        <v>48</v>
      </c>
      <c r="N2" s="1" t="s">
        <v>25</v>
      </c>
    </row>
    <row r="3" spans="1:14" x14ac:dyDescent="0.25">
      <c r="A3" t="s">
        <v>470</v>
      </c>
      <c r="B3" s="6">
        <v>42982</v>
      </c>
      <c r="C3" s="4" t="str">
        <f>_xlfn.XLOOKUP(B3,[1]ReportePolizaPorFiltroArribas!$G$1:$G$3955,[1]ReportePolizaPorFiltroArribas!$O$1:$O$3955,"No Encontrado",0)</f>
        <v>No Encontrado</v>
      </c>
      <c r="D3" s="4" t="str">
        <f>_xlfn.XLOOKUP(B3,[2]Tablero!$AP$1:$AP$6608,[2]Tablero!$AE$1:$AE$6608,"No Encontrado",0)</f>
        <v>No Encontrado</v>
      </c>
      <c r="E3" s="6" t="s">
        <v>39</v>
      </c>
      <c r="F3" s="4" t="str">
        <f>IF(E3&lt;&gt;"",_xlfn.XLOOKUP(G3,pivot!$B$1:$B$34,pivot!$A$1:$A$34,"",0),"")</f>
        <v>Jesus</v>
      </c>
      <c r="G3" t="s">
        <v>11</v>
      </c>
      <c r="H3" t="s">
        <v>349</v>
      </c>
      <c r="M3" s="4">
        <f t="shared" ref="M3:M66" si="0">IF(C3&lt;=TEXT(H3,"YYYY-MM"),2,6)</f>
        <v>6</v>
      </c>
    </row>
    <row r="4" spans="1:14" x14ac:dyDescent="0.25">
      <c r="A4" t="s">
        <v>513</v>
      </c>
      <c r="B4" s="6">
        <v>1300649048</v>
      </c>
      <c r="C4" s="4" t="str">
        <f>_xlfn.XLOOKUP(B4,[1]ReportePolizaPorFiltroArribas!$G$1:$G$3955,[1]ReportePolizaPorFiltroArribas!$O$1:$O$3955,"No Encontrado",0)</f>
        <v>No Encontrado</v>
      </c>
      <c r="D4" s="4" t="str">
        <f>_xlfn.XLOOKUP(B4,[2]Tablero!$AP$1:$AP$6608,[2]Tablero!$AE$1:$AE$6608,"No Encontrado",0)</f>
        <v>No Encontrado</v>
      </c>
      <c r="E4" s="6" t="s">
        <v>39</v>
      </c>
      <c r="F4" s="4" t="str">
        <f>IF(E4&lt;&gt;"",_xlfn.XLOOKUP(G4,pivot!$B$1:$B$34,pivot!$A$1:$A$34,"",0),"")</f>
        <v>Jesus</v>
      </c>
      <c r="G4" t="s">
        <v>54</v>
      </c>
      <c r="H4" t="s">
        <v>375</v>
      </c>
      <c r="M4" s="4">
        <f t="shared" si="0"/>
        <v>6</v>
      </c>
    </row>
    <row r="5" spans="1:14" x14ac:dyDescent="0.25">
      <c r="A5" t="s">
        <v>387</v>
      </c>
      <c r="B5" s="6">
        <v>1300649031</v>
      </c>
      <c r="C5" s="4" t="str">
        <f>_xlfn.XLOOKUP(B5,[1]ReportePolizaPorFiltroArribas!$G$1:$G$3955,[1]ReportePolizaPorFiltroArribas!$O$1:$O$3955,"No Encontrado",0)</f>
        <v>No Encontrado</v>
      </c>
      <c r="D5" s="4" t="str">
        <f>_xlfn.XLOOKUP(B5,[2]Tablero!$AP$1:$AP$6608,[2]Tablero!$AE$1:$AE$6608,"No Encontrado",0)</f>
        <v>No Encontrado</v>
      </c>
      <c r="E5" s="6" t="s">
        <v>39</v>
      </c>
      <c r="F5" s="4" t="str">
        <f>IF(E5&lt;&gt;"",_xlfn.XLOOKUP(G5,pivot!$B$1:$B$34,pivot!$A$1:$A$34,"",0),"")</f>
        <v>Jesus</v>
      </c>
      <c r="G5" s="6" t="s">
        <v>54</v>
      </c>
      <c r="H5" t="s">
        <v>461</v>
      </c>
      <c r="M5" s="4">
        <f t="shared" si="0"/>
        <v>6</v>
      </c>
    </row>
    <row r="6" spans="1:14" x14ac:dyDescent="0.25">
      <c r="A6" t="s">
        <v>516</v>
      </c>
      <c r="B6" s="6">
        <v>1300047326</v>
      </c>
      <c r="C6" s="4" t="str">
        <f>_xlfn.XLOOKUP(B6,[1]ReportePolizaPorFiltroArribas!$G$1:$G$3955,[1]ReportePolizaPorFiltroArribas!$O$1:$O$3955,"No Encontrado",0)</f>
        <v>No Encontrado</v>
      </c>
      <c r="D6" s="4" t="str">
        <f>_xlfn.XLOOKUP(B6,[2]Tablero!$AP$1:$AP$6608,[2]Tablero!$AE$1:$AE$6608,"No Encontrado",0)</f>
        <v>No Encontrado</v>
      </c>
      <c r="E6" s="6" t="s">
        <v>39</v>
      </c>
      <c r="F6" s="4" t="str">
        <f>IF(E6&lt;&gt;"",_xlfn.XLOOKUP(G6,pivot!$B$1:$B$34,pivot!$A$1:$A$34,"",0),"")</f>
        <v>Jesus</v>
      </c>
      <c r="G6" t="s">
        <v>10</v>
      </c>
      <c r="H6" t="s">
        <v>461</v>
      </c>
      <c r="M6" s="4">
        <f t="shared" si="0"/>
        <v>6</v>
      </c>
    </row>
    <row r="7" spans="1:14" hidden="1" x14ac:dyDescent="0.25">
      <c r="A7" t="s">
        <v>435</v>
      </c>
      <c r="B7" s="16">
        <v>1578645</v>
      </c>
      <c r="C7" s="4" t="str">
        <f>_xlfn.XLOOKUP(B7,[1]ReportePolizaPorFiltroArribas!$G$1:$G$3955,[1]ReportePolizaPorFiltroArribas!$O$1:$O$3955,"No Encontrado",0)</f>
        <v>No Encontrado</v>
      </c>
      <c r="D7" s="4" t="str">
        <f>_xlfn.XLOOKUP(B7,[2]Tablero!$AP$1:$AP$6608,[2]Tablero!$AE$1:$AE$6608,"No Encontrado",0)</f>
        <v>No Encontrado</v>
      </c>
      <c r="E7" s="6" t="s">
        <v>39</v>
      </c>
      <c r="F7" s="4" t="str">
        <f>IF(E7&lt;&gt;"",_xlfn.XLOOKUP(G7,pivot!$B$1:$B$34,pivot!$A$1:$A$34,"",0),"")</f>
        <v>Cesar</v>
      </c>
      <c r="G7" s="6" t="s">
        <v>7</v>
      </c>
      <c r="H7" t="s">
        <v>443</v>
      </c>
      <c r="M7" s="4">
        <f t="shared" si="0"/>
        <v>6</v>
      </c>
    </row>
    <row r="8" spans="1:14" x14ac:dyDescent="0.25">
      <c r="A8" t="s">
        <v>277</v>
      </c>
      <c r="B8" s="6">
        <v>1300369041</v>
      </c>
      <c r="C8" s="4" t="str">
        <f>_xlfn.XLOOKUP(B8,[1]ReportePolizaPorFiltroArribas!$G$1:$G$3955,[1]ReportePolizaPorFiltroArribas!$O$1:$O$3955,"No Encontrado",0)</f>
        <v>2025-09</v>
      </c>
      <c r="D8" s="4" t="str">
        <f>_xlfn.XLOOKUP(B8,[2]Tablero!$AP$1:$AP$6608,[2]Tablero!$AE$1:$AE$6608,"No Encontrado",0)</f>
        <v>02 - EN PROCESO</v>
      </c>
      <c r="E8" s="6" t="s">
        <v>34</v>
      </c>
      <c r="F8" s="4" t="str">
        <f>IF(E8&lt;&gt;"",_xlfn.XLOOKUP(G8,pivot!$B$1:$B$34,pivot!$A$1:$A$34,"",0),"")</f>
        <v>Jesus</v>
      </c>
      <c r="G8" t="s">
        <v>10</v>
      </c>
      <c r="H8" t="s">
        <v>322</v>
      </c>
      <c r="M8" s="4">
        <f t="shared" si="0"/>
        <v>2</v>
      </c>
    </row>
    <row r="9" spans="1:14" x14ac:dyDescent="0.25">
      <c r="A9" t="s">
        <v>378</v>
      </c>
      <c r="B9" s="6">
        <v>1300356735</v>
      </c>
      <c r="C9" s="4" t="str">
        <f>_xlfn.XLOOKUP(B9,[1]ReportePolizaPorFiltroArribas!$G$1:$G$3955,[1]ReportePolizaPorFiltroArribas!$O$1:$O$3955,"No Encontrado",0)</f>
        <v>2025-10</v>
      </c>
      <c r="D9" s="4" t="str">
        <f>_xlfn.XLOOKUP(B9,[2]Tablero!$AP$1:$AP$6608,[2]Tablero!$AE$1:$AE$6608,"No Encontrado",0)</f>
        <v>01 - RENOVADA</v>
      </c>
      <c r="E9" s="6" t="s">
        <v>34</v>
      </c>
      <c r="F9" s="4" t="str">
        <f>IF(E9&lt;&gt;"",_xlfn.XLOOKUP(G9,pivot!$B$1:$B$34,pivot!$A$1:$A$34,"",0),"")</f>
        <v>Jesus</v>
      </c>
      <c r="G9" t="s">
        <v>10</v>
      </c>
      <c r="H9" t="s">
        <v>332</v>
      </c>
      <c r="M9" s="4">
        <f t="shared" si="0"/>
        <v>2</v>
      </c>
    </row>
    <row r="10" spans="1:14" x14ac:dyDescent="0.25">
      <c r="A10" t="s">
        <v>219</v>
      </c>
      <c r="B10" s="6">
        <v>1300615764</v>
      </c>
      <c r="C10" s="4" t="str">
        <f>_xlfn.XLOOKUP(B10,[1]ReportePolizaPorFiltroArribas!$G$1:$G$3955,[1]ReportePolizaPorFiltroArribas!$O$1:$O$3955,"No Encontrado",0)</f>
        <v>2025-10</v>
      </c>
      <c r="D10" s="4" t="str">
        <f>_xlfn.XLOOKUP(B10,[2]Tablero!$AP$1:$AP$6608,[2]Tablero!$AE$1:$AE$6608,"No Encontrado",0)</f>
        <v>01 - RENOVADA</v>
      </c>
      <c r="E10" s="6" t="s">
        <v>34</v>
      </c>
      <c r="F10" s="4" t="str">
        <f>IF(E10&lt;&gt;"",_xlfn.XLOOKUP(G10,pivot!$B$1:$B$34,pivot!$A$1:$A$34,"",0),"")</f>
        <v>Jesus</v>
      </c>
      <c r="G10" t="s">
        <v>10</v>
      </c>
      <c r="H10" t="s">
        <v>368</v>
      </c>
      <c r="M10" s="4">
        <f t="shared" si="0"/>
        <v>2</v>
      </c>
    </row>
    <row r="11" spans="1:14" x14ac:dyDescent="0.25">
      <c r="A11" t="s">
        <v>387</v>
      </c>
      <c r="B11" s="16">
        <v>65598970</v>
      </c>
      <c r="C11" s="4" t="str">
        <f>_xlfn.XLOOKUP(B11,[1]ReportePolizaPorFiltroArribas!$G$1:$G$3955,[1]ReportePolizaPorFiltroArribas!$O$1:$O$3955,"No Encontrado",0)</f>
        <v>2025-10</v>
      </c>
      <c r="D11" s="4" t="str">
        <f>_xlfn.XLOOKUP(B11,[2]Tablero!$AP$1:$AP$6608,[2]Tablero!$AE$1:$AE$6608,"No Encontrado",0)</f>
        <v>03 - PENDIENTE</v>
      </c>
      <c r="E11" s="6" t="s">
        <v>34</v>
      </c>
      <c r="F11" s="4" t="str">
        <f>IF(E11&lt;&gt;"",_xlfn.XLOOKUP(G11,pivot!$B$1:$B$34,pivot!$A$1:$A$34,"",0),"")</f>
        <v>Jesus</v>
      </c>
      <c r="G11" s="6" t="s">
        <v>10</v>
      </c>
      <c r="H11" t="s">
        <v>368</v>
      </c>
      <c r="M11" s="4">
        <f t="shared" si="0"/>
        <v>2</v>
      </c>
    </row>
    <row r="12" spans="1:14" x14ac:dyDescent="0.25">
      <c r="A12" t="s">
        <v>86</v>
      </c>
      <c r="B12" s="6">
        <v>44654</v>
      </c>
      <c r="C12" s="4" t="str">
        <f>_xlfn.XLOOKUP(B12,[1]ReportePolizaPorFiltroArribas!$G$1:$G$3955,[1]ReportePolizaPorFiltroArribas!$O$1:$O$3955,"No Encontrado",0)</f>
        <v>2025-10</v>
      </c>
      <c r="D12" s="4" t="str">
        <f>_xlfn.XLOOKUP(B12,[2]Tablero!$AP$1:$AP$6608,[2]Tablero!$AE$1:$AE$6608,"No Encontrado",0)</f>
        <v>03 - PENDIENTE</v>
      </c>
      <c r="E12" s="6" t="s">
        <v>34</v>
      </c>
      <c r="F12" s="4" t="str">
        <f>IF(E12&lt;&gt;"",_xlfn.XLOOKUP(G12,pivot!$B$1:$B$34,pivot!$A$1:$A$34,"",0),"")</f>
        <v>Jesus</v>
      </c>
      <c r="G12" t="s">
        <v>11</v>
      </c>
      <c r="H12" t="s">
        <v>369</v>
      </c>
      <c r="M12" s="4">
        <f t="shared" si="0"/>
        <v>2</v>
      </c>
    </row>
    <row r="13" spans="1:14" hidden="1" x14ac:dyDescent="0.25">
      <c r="A13" t="s">
        <v>262</v>
      </c>
      <c r="B13" s="6">
        <v>74840</v>
      </c>
      <c r="C13" s="4" t="str">
        <f>_xlfn.XLOOKUP(B13,[1]ReportePolizaPorFiltroArribas!$G$1:$G$3955,[1]ReportePolizaPorFiltroArribas!$O$1:$O$3955,"No Encontrado",0)</f>
        <v>2025-11</v>
      </c>
      <c r="D13" s="4" t="str">
        <f>_xlfn.XLOOKUP(B13,[2]Tablero!$AP$1:$AP$6608,[2]Tablero!$AE$1:$AE$6608,"No Encontrado",0)</f>
        <v>03 - PENDIENTE</v>
      </c>
      <c r="E13" s="9" t="s">
        <v>34</v>
      </c>
      <c r="F13" s="4" t="str">
        <f>IF(E13&lt;&gt;"",_xlfn.XLOOKUP(G13,pivot!$B$1:$B$34,pivot!$A$1:$A$34,"",0),"")</f>
        <v>Briyan</v>
      </c>
      <c r="G13" t="s">
        <v>14</v>
      </c>
      <c r="H13" t="s">
        <v>509</v>
      </c>
      <c r="M13" s="4">
        <f t="shared" si="0"/>
        <v>2</v>
      </c>
    </row>
    <row r="14" spans="1:14" hidden="1" x14ac:dyDescent="0.25">
      <c r="A14" t="s">
        <v>504</v>
      </c>
      <c r="B14" s="16">
        <v>456784</v>
      </c>
      <c r="C14" s="4" t="str">
        <f>_xlfn.XLOOKUP(B14,[1]ReportePolizaPorFiltroArribas!$G$1:$G$3955,[1]ReportePolizaPorFiltroArribas!$O$1:$O$3955,"No Encontrado",0)</f>
        <v>2025-11</v>
      </c>
      <c r="D14" s="4" t="str">
        <f>_xlfn.XLOOKUP(B14,[2]Tablero!$AP$1:$AP$6608,[2]Tablero!$AE$1:$AE$6608,"No Encontrado",0)</f>
        <v>01 - RENOVADA</v>
      </c>
      <c r="E14" s="9" t="s">
        <v>34</v>
      </c>
      <c r="F14" s="4" t="str">
        <f>IF(E14&lt;&gt;"",_xlfn.XLOOKUP(G14,pivot!$B$1:$B$34,pivot!$A$1:$A$34,"",0),"")</f>
        <v>Cesar</v>
      </c>
      <c r="G14" s="6" t="s">
        <v>7</v>
      </c>
      <c r="H14" t="s">
        <v>511</v>
      </c>
      <c r="M14" s="4">
        <f t="shared" si="0"/>
        <v>2</v>
      </c>
    </row>
    <row r="15" spans="1:14" hidden="1" x14ac:dyDescent="0.25">
      <c r="A15" t="s">
        <v>517</v>
      </c>
      <c r="B15" s="16">
        <v>1472894</v>
      </c>
      <c r="C15" s="4" t="str">
        <f>_xlfn.XLOOKUP(B15,[1]ReportePolizaPorFiltroArribas!$G$1:$G$3955,[1]ReportePolizaPorFiltroArribas!$O$1:$O$3955,"No Encontrado",0)</f>
        <v>2025-11</v>
      </c>
      <c r="D15" s="4" t="str">
        <f>_xlfn.XLOOKUP(B15,[2]Tablero!$AP$1:$AP$6608,[2]Tablero!$AE$1:$AE$6608,"No Encontrado",0)</f>
        <v>01 - RENOVADA</v>
      </c>
      <c r="E15" s="9" t="s">
        <v>34</v>
      </c>
      <c r="F15" s="4" t="str">
        <f>IF(E15&lt;&gt;"",_xlfn.XLOOKUP(G15,pivot!$B$1:$B$34,pivot!$A$1:$A$34,"",0),"")</f>
        <v>Cesar</v>
      </c>
      <c r="G15" s="6" t="s">
        <v>7</v>
      </c>
      <c r="H15" t="s">
        <v>350</v>
      </c>
      <c r="M15" s="4">
        <f t="shared" si="0"/>
        <v>2</v>
      </c>
    </row>
    <row r="16" spans="1:14" x14ac:dyDescent="0.25">
      <c r="A16" t="s">
        <v>134</v>
      </c>
      <c r="B16" s="6">
        <v>47846</v>
      </c>
      <c r="C16" s="4" t="str">
        <f>_xlfn.XLOOKUP(B16,[1]ReportePolizaPorFiltroArribas!$G$1:$G$3955,[1]ReportePolizaPorFiltroArribas!$O$1:$O$3955,"No Encontrado",0)</f>
        <v>2025-10</v>
      </c>
      <c r="D16" s="4" t="str">
        <f>_xlfn.XLOOKUP(B16,[2]Tablero!$AP$1:$AP$6608,[2]Tablero!$AE$1:$AE$6608,"No Encontrado",0)</f>
        <v>02 - EN PROCESO</v>
      </c>
      <c r="E16" s="6" t="s">
        <v>34</v>
      </c>
      <c r="F16" s="4" t="str">
        <f>IF(E16&lt;&gt;"",_xlfn.XLOOKUP(G16,pivot!$B$1:$B$34,pivot!$A$1:$A$34,"",0),"")</f>
        <v>Jesus</v>
      </c>
      <c r="G16" t="s">
        <v>11</v>
      </c>
      <c r="H16" t="s">
        <v>349</v>
      </c>
      <c r="M16" s="4">
        <f t="shared" si="0"/>
        <v>2</v>
      </c>
    </row>
    <row r="17" spans="1:13" x14ac:dyDescent="0.25">
      <c r="A17" t="s">
        <v>471</v>
      </c>
      <c r="B17" s="6">
        <v>46781</v>
      </c>
      <c r="C17" s="4" t="str">
        <f>_xlfn.XLOOKUP(B17,[1]ReportePolizaPorFiltroArribas!$G$1:$G$3955,[1]ReportePolizaPorFiltroArribas!$O$1:$O$3955,"No Encontrado",0)</f>
        <v>2025-10</v>
      </c>
      <c r="D17" s="4" t="str">
        <f>_xlfn.XLOOKUP(B17,[2]Tablero!$AP$1:$AP$6608,[2]Tablero!$AE$1:$AE$6608,"No Encontrado",0)</f>
        <v>02 - EN PROCESO</v>
      </c>
      <c r="E17" s="6" t="s">
        <v>34</v>
      </c>
      <c r="F17" s="4" t="str">
        <f>IF(E17&lt;&gt;"",_xlfn.XLOOKUP(G17,pivot!$B$1:$B$34,pivot!$A$1:$A$34,"",0),"")</f>
        <v>Jesus</v>
      </c>
      <c r="G17" t="s">
        <v>11</v>
      </c>
      <c r="H17" t="s">
        <v>349</v>
      </c>
      <c r="M17" s="4">
        <f t="shared" si="0"/>
        <v>2</v>
      </c>
    </row>
    <row r="18" spans="1:13" hidden="1" x14ac:dyDescent="0.25">
      <c r="A18" t="s">
        <v>518</v>
      </c>
      <c r="B18" s="16">
        <v>1473844</v>
      </c>
      <c r="C18" s="4" t="str">
        <f>_xlfn.XLOOKUP(B18,[1]ReportePolizaPorFiltroArribas!$G$1:$G$3955,[1]ReportePolizaPorFiltroArribas!$O$1:$O$3955,"No Encontrado",0)</f>
        <v>2025-11</v>
      </c>
      <c r="D18" s="4" t="str">
        <f>_xlfn.XLOOKUP(B18,[2]Tablero!$AP$1:$AP$6608,[2]Tablero!$AE$1:$AE$6608,"No Encontrado",0)</f>
        <v>01 - RENOVADA</v>
      </c>
      <c r="E18" s="9" t="s">
        <v>34</v>
      </c>
      <c r="F18" s="4" t="str">
        <f>IF(E18&lt;&gt;"",_xlfn.XLOOKUP(G18,pivot!$B$1:$B$34,pivot!$A$1:$A$34,"",0),"")</f>
        <v>Cesar</v>
      </c>
      <c r="G18" s="6" t="s">
        <v>7</v>
      </c>
      <c r="H18" t="s">
        <v>526</v>
      </c>
      <c r="M18" s="4">
        <f t="shared" si="0"/>
        <v>2</v>
      </c>
    </row>
    <row r="19" spans="1:13" hidden="1" x14ac:dyDescent="0.25">
      <c r="A19" t="s">
        <v>256</v>
      </c>
      <c r="B19" s="16">
        <v>45666</v>
      </c>
      <c r="C19" s="4" t="str">
        <f>_xlfn.XLOOKUP(B19,[1]ReportePolizaPorFiltroArribas!$G$1:$G$3955,[1]ReportePolizaPorFiltroArribas!$O$1:$O$3955,"No Encontrado",0)</f>
        <v>2025-11</v>
      </c>
      <c r="D19" s="4" t="str">
        <f>_xlfn.XLOOKUP(B19,[2]Tablero!$AP$1:$AP$6608,[2]Tablero!$AE$1:$AE$6608,"No Encontrado",0)</f>
        <v>03 - PENDIENTE</v>
      </c>
      <c r="E19" s="9" t="s">
        <v>34</v>
      </c>
      <c r="F19" s="4" t="str">
        <f>IF(E19&lt;&gt;"",_xlfn.XLOOKUP(G19,pivot!$B$1:$B$34,pivot!$A$1:$A$34,"",0),"")</f>
        <v>Briyan</v>
      </c>
      <c r="G19" s="6" t="s">
        <v>9</v>
      </c>
      <c r="H19" t="s">
        <v>405</v>
      </c>
      <c r="M19" s="4">
        <f t="shared" si="0"/>
        <v>2</v>
      </c>
    </row>
    <row r="20" spans="1:13" hidden="1" x14ac:dyDescent="0.25">
      <c r="A20" t="s">
        <v>519</v>
      </c>
      <c r="B20" s="16">
        <v>4046</v>
      </c>
      <c r="C20" s="4" t="str">
        <f>_xlfn.XLOOKUP(B20,[1]ReportePolizaPorFiltroArribas!$G$1:$G$3955,[1]ReportePolizaPorFiltroArribas!$O$1:$O$3955,"No Encontrado",0)</f>
        <v>2025-11</v>
      </c>
      <c r="D20" s="4" t="str">
        <f>_xlfn.XLOOKUP(B20,[2]Tablero!$AP$1:$AP$6608,[2]Tablero!$AE$1:$AE$6608,"No Encontrado",0)</f>
        <v>03 - PENDIENTE</v>
      </c>
      <c r="E20" s="9" t="s">
        <v>34</v>
      </c>
      <c r="F20" s="4" t="str">
        <f>IF(E20&lt;&gt;"",_xlfn.XLOOKUP(G20,pivot!$B$1:$B$34,pivot!$A$1:$A$34,"",0),"")</f>
        <v>Briyan</v>
      </c>
      <c r="G20" s="6" t="s">
        <v>17</v>
      </c>
      <c r="H20" t="s">
        <v>527</v>
      </c>
      <c r="M20" s="4">
        <f t="shared" si="0"/>
        <v>2</v>
      </c>
    </row>
    <row r="21" spans="1:13" hidden="1" x14ac:dyDescent="0.25">
      <c r="A21" t="s">
        <v>284</v>
      </c>
      <c r="B21" s="6">
        <v>2738</v>
      </c>
      <c r="C21" s="4" t="str">
        <f>_xlfn.XLOOKUP(B21,[1]ReportePolizaPorFiltroArribas!$G$1:$G$3955,[1]ReportePolizaPorFiltroArribas!$O$1:$O$3955,"No Encontrado",0)</f>
        <v>2025-11</v>
      </c>
      <c r="D21" s="4" t="str">
        <f>_xlfn.XLOOKUP(B21,[2]Tablero!$AP$1:$AP$6608,[2]Tablero!$AE$1:$AE$6608,"No Encontrado",0)</f>
        <v>03 - PENDIENTE</v>
      </c>
      <c r="E21" s="9" t="s">
        <v>34</v>
      </c>
      <c r="F21" s="4" t="str">
        <f>IF(E21&lt;&gt;"",_xlfn.XLOOKUP(G21,pivot!$B$1:$B$34,pivot!$A$1:$A$34,"",0),"")</f>
        <v>Briyan</v>
      </c>
      <c r="G21" s="6" t="s">
        <v>16</v>
      </c>
      <c r="H21" t="s">
        <v>528</v>
      </c>
      <c r="M21" s="4">
        <f t="shared" si="0"/>
        <v>2</v>
      </c>
    </row>
    <row r="22" spans="1:13" hidden="1" x14ac:dyDescent="0.25">
      <c r="A22" t="s">
        <v>520</v>
      </c>
      <c r="B22" s="16">
        <v>1389315</v>
      </c>
      <c r="C22" s="4" t="str">
        <f>_xlfn.XLOOKUP(B22,[1]ReportePolizaPorFiltroArribas!$G$1:$G$3955,[1]ReportePolizaPorFiltroArribas!$O$1:$O$3955,"No Encontrado",0)</f>
        <v>2025-11</v>
      </c>
      <c r="D22" s="4" t="str">
        <f>_xlfn.XLOOKUP(B22,[2]Tablero!$AP$1:$AP$6608,[2]Tablero!$AE$1:$AE$6608,"No Encontrado",0)</f>
        <v>01 - RENOVADA</v>
      </c>
      <c r="E22" s="9" t="s">
        <v>34</v>
      </c>
      <c r="F22" s="4" t="str">
        <f>IF(E22&lt;&gt;"",_xlfn.XLOOKUP(G22,pivot!$B$1:$B$34,pivot!$A$1:$A$34,"",0),"")</f>
        <v>Cesar</v>
      </c>
      <c r="G22" s="6" t="s">
        <v>7</v>
      </c>
      <c r="H22" t="s">
        <v>530</v>
      </c>
      <c r="M22" s="4">
        <f t="shared" si="0"/>
        <v>2</v>
      </c>
    </row>
    <row r="23" spans="1:13" hidden="1" x14ac:dyDescent="0.25">
      <c r="A23" t="s">
        <v>521</v>
      </c>
      <c r="B23" s="16">
        <v>53657</v>
      </c>
      <c r="C23" s="4" t="str">
        <f>_xlfn.XLOOKUP(B23,[1]ReportePolizaPorFiltroArribas!$G$1:$G$3955,[1]ReportePolizaPorFiltroArribas!$O$1:$O$3955,"No Encontrado",0)</f>
        <v>2025-11</v>
      </c>
      <c r="D23" s="4" t="str">
        <f>_xlfn.XLOOKUP(B23,[2]Tablero!$AP$1:$AP$6608,[2]Tablero!$AE$1:$AE$6608,"No Encontrado",0)</f>
        <v>03 - PENDIENTE</v>
      </c>
      <c r="E23" s="9" t="s">
        <v>34</v>
      </c>
      <c r="F23" s="4" t="str">
        <f>IF(E23&lt;&gt;"",_xlfn.XLOOKUP(G23,pivot!$B$1:$B$34,pivot!$A$1:$A$34,"",0),"")</f>
        <v>Briyan</v>
      </c>
      <c r="G23" s="6" t="s">
        <v>9</v>
      </c>
      <c r="H23" t="s">
        <v>531</v>
      </c>
      <c r="M23" s="4">
        <f t="shared" si="0"/>
        <v>2</v>
      </c>
    </row>
    <row r="24" spans="1:13" hidden="1" x14ac:dyDescent="0.25">
      <c r="A24" t="s">
        <v>521</v>
      </c>
      <c r="B24" s="16">
        <v>53662</v>
      </c>
      <c r="C24" s="4" t="str">
        <f>_xlfn.XLOOKUP(B24,[1]ReportePolizaPorFiltroArribas!$G$1:$G$3955,[1]ReportePolizaPorFiltroArribas!$O$1:$O$3955,"No Encontrado",0)</f>
        <v>2025-11</v>
      </c>
      <c r="D24" s="4" t="str">
        <f>_xlfn.XLOOKUP(B24,[2]Tablero!$AP$1:$AP$6608,[2]Tablero!$AE$1:$AE$6608,"No Encontrado",0)</f>
        <v>03 - PENDIENTE</v>
      </c>
      <c r="E24" s="9" t="s">
        <v>34</v>
      </c>
      <c r="F24" s="4" t="str">
        <f>IF(E24&lt;&gt;"",_xlfn.XLOOKUP(G24,pivot!$B$1:$B$34,pivot!$A$1:$A$34,"",0),"")</f>
        <v>Briyan</v>
      </c>
      <c r="G24" s="6" t="s">
        <v>9</v>
      </c>
      <c r="H24" t="s">
        <v>531</v>
      </c>
      <c r="M24" s="4">
        <f t="shared" si="0"/>
        <v>2</v>
      </c>
    </row>
    <row r="25" spans="1:13" hidden="1" x14ac:dyDescent="0.25">
      <c r="A25" t="s">
        <v>484</v>
      </c>
      <c r="B25" s="6" t="s">
        <v>485</v>
      </c>
      <c r="C25" s="4" t="str">
        <f>_xlfn.XLOOKUP(B25,[1]ReportePolizaPorFiltroArribas!$G$1:$G$3955,[1]ReportePolizaPorFiltroArribas!$O$1:$O$3955,"No Encontrado",0)</f>
        <v>2025-10</v>
      </c>
      <c r="D25" s="4" t="str">
        <f>_xlfn.XLOOKUP(B25,[2]Tablero!$AP$1:$AP$6608,[2]Tablero!$AE$1:$AE$6608,"No Encontrado",0)</f>
        <v>No Encontrado</v>
      </c>
      <c r="E25" s="6" t="s">
        <v>34</v>
      </c>
      <c r="F25" s="4" t="str">
        <f>IF(E25&lt;&gt;"",_xlfn.XLOOKUP(G25,pivot!$B$1:$B$34,pivot!$A$1:$A$34,"",0),"")</f>
        <v>Briyan</v>
      </c>
      <c r="G25" t="s">
        <v>4</v>
      </c>
      <c r="H25" t="s">
        <v>507</v>
      </c>
      <c r="M25" s="4">
        <f t="shared" si="0"/>
        <v>2</v>
      </c>
    </row>
    <row r="26" spans="1:13" hidden="1" x14ac:dyDescent="0.25">
      <c r="A26" t="s">
        <v>435</v>
      </c>
      <c r="B26" s="16">
        <v>1581063</v>
      </c>
      <c r="C26" s="4" t="str">
        <f>_xlfn.XLOOKUP(B26,[1]ReportePolizaPorFiltroArribas!$G$1:$G$3955,[1]ReportePolizaPorFiltroArribas!$O$1:$O$3955,"No Encontrado",0)</f>
        <v>2025-10</v>
      </c>
      <c r="D26" s="4" t="str">
        <f>_xlfn.XLOOKUP(B26,[2]Tablero!$AP$1:$AP$6608,[2]Tablero!$AE$1:$AE$6608,"No Encontrado",0)</f>
        <v>01 - RENOVADA</v>
      </c>
      <c r="E26" s="6" t="s">
        <v>34</v>
      </c>
      <c r="F26" s="4" t="str">
        <f>IF(E26&lt;&gt;"",_xlfn.XLOOKUP(G26,pivot!$B$1:$B$34,pivot!$A$1:$A$34,"",0),"")</f>
        <v>Cesar</v>
      </c>
      <c r="G26" s="6" t="s">
        <v>7</v>
      </c>
      <c r="H26" t="s">
        <v>443</v>
      </c>
      <c r="M26" s="4">
        <f t="shared" si="0"/>
        <v>2</v>
      </c>
    </row>
    <row r="27" spans="1:13" x14ac:dyDescent="0.25">
      <c r="A27" t="s">
        <v>78</v>
      </c>
      <c r="B27" s="16">
        <v>44936720</v>
      </c>
      <c r="C27" s="4" t="str">
        <f>_xlfn.XLOOKUP(B27,[1]ReportePolizaPorFiltroArribas!$G$1:$G$3955,[1]ReportePolizaPorFiltroArribas!$O$1:$O$3955,"No Encontrado",0)</f>
        <v>2025-10</v>
      </c>
      <c r="D27" s="4" t="str">
        <f>_xlfn.XLOOKUP(B27,[2]Tablero!$AP$1:$AP$6608,[2]Tablero!$AE$1:$AE$6608,"No Encontrado",0)</f>
        <v>03 - PENDIENTE</v>
      </c>
      <c r="E27" s="6" t="s">
        <v>32</v>
      </c>
      <c r="F27" s="4" t="str">
        <f>IF(E27&lt;&gt;"",_xlfn.XLOOKUP(G27,pivot!$B$1:$B$34,pivot!$A$1:$A$34,"",0),"")</f>
        <v>Jesus</v>
      </c>
      <c r="G27" s="6" t="s">
        <v>10</v>
      </c>
      <c r="H27" t="s">
        <v>314</v>
      </c>
      <c r="M27" s="4">
        <f t="shared" si="0"/>
        <v>6</v>
      </c>
    </row>
    <row r="28" spans="1:13" x14ac:dyDescent="0.25">
      <c r="A28" t="s">
        <v>115</v>
      </c>
      <c r="B28" s="6">
        <v>48411</v>
      </c>
      <c r="C28" s="4" t="str">
        <f>_xlfn.XLOOKUP(B28,[1]ReportePolizaPorFiltroArribas!$G$1:$G$3955,[1]ReportePolizaPorFiltroArribas!$O$1:$O$3955,"No Encontrado",0)</f>
        <v>2025-10</v>
      </c>
      <c r="D28" s="4" t="str">
        <f>_xlfn.XLOOKUP(B28,[2]Tablero!$AP$1:$AP$6608,[2]Tablero!$AE$1:$AE$6608,"No Encontrado",0)</f>
        <v>03 - PENDIENTE</v>
      </c>
      <c r="E28" s="6" t="s">
        <v>32</v>
      </c>
      <c r="F28" s="4" t="str">
        <f>IF(E28&lt;&gt;"",_xlfn.XLOOKUP(G28,pivot!$B$1:$B$34,pivot!$A$1:$A$34,"",0),"")</f>
        <v>Jesus</v>
      </c>
      <c r="G28" t="s">
        <v>11</v>
      </c>
      <c r="H28" t="s">
        <v>330</v>
      </c>
      <c r="M28" s="4">
        <f t="shared" si="0"/>
        <v>6</v>
      </c>
    </row>
    <row r="29" spans="1:13" hidden="1" x14ac:dyDescent="0.25">
      <c r="A29" t="s">
        <v>79</v>
      </c>
      <c r="B29" s="16">
        <v>1469526</v>
      </c>
      <c r="C29" s="4" t="str">
        <f>_xlfn.XLOOKUP(B29,[1]ReportePolizaPorFiltroArribas!$G$1:$G$3955,[1]ReportePolizaPorFiltroArribas!$O$1:$O$3955,"No Encontrado",0)</f>
        <v>2025-11</v>
      </c>
      <c r="D29" s="4" t="str">
        <f>_xlfn.XLOOKUP(B29,[2]Tablero!$AP$1:$AP$6608,[2]Tablero!$AE$1:$AE$6608,"No Encontrado",0)</f>
        <v>No Encontrado</v>
      </c>
      <c r="E29" s="9" t="s">
        <v>32</v>
      </c>
      <c r="F29" s="4" t="str">
        <f>IF(E29&lt;&gt;"",_xlfn.XLOOKUP(G29,pivot!$B$1:$B$34,pivot!$A$1:$A$34,"",0),"")</f>
        <v>Cesar</v>
      </c>
      <c r="G29" s="6" t="s">
        <v>7</v>
      </c>
      <c r="H29" t="s">
        <v>329</v>
      </c>
      <c r="M29" s="4">
        <f t="shared" si="0"/>
        <v>6</v>
      </c>
    </row>
    <row r="30" spans="1:13" hidden="1" x14ac:dyDescent="0.25">
      <c r="A30" t="s">
        <v>294</v>
      </c>
      <c r="B30" s="6">
        <v>1469534</v>
      </c>
      <c r="C30" s="4" t="str">
        <f>_xlfn.XLOOKUP(B30,[1]ReportePolizaPorFiltroArribas!$G$1:$G$3955,[1]ReportePolizaPorFiltroArribas!$O$1:$O$3955,"No Encontrado",0)</f>
        <v>2025-11</v>
      </c>
      <c r="D30" s="4" t="str">
        <f>_xlfn.XLOOKUP(B30,[2]Tablero!$AP$1:$AP$6608,[2]Tablero!$AE$1:$AE$6608,"No Encontrado",0)</f>
        <v>03 - PENDIENTE</v>
      </c>
      <c r="E30" s="9" t="s">
        <v>32</v>
      </c>
      <c r="F30" s="4" t="str">
        <f>IF(E30&lt;&gt;"",_xlfn.XLOOKUP(G30,pivot!$B$1:$B$34,pivot!$A$1:$A$34,"",0),"")</f>
        <v>Cesar</v>
      </c>
      <c r="G30" t="s">
        <v>7</v>
      </c>
      <c r="H30" t="s">
        <v>386</v>
      </c>
      <c r="M30" s="4">
        <f t="shared" si="0"/>
        <v>6</v>
      </c>
    </row>
    <row r="31" spans="1:13" hidden="1" x14ac:dyDescent="0.25">
      <c r="A31" t="s">
        <v>217</v>
      </c>
      <c r="B31" s="6">
        <v>251980</v>
      </c>
      <c r="C31" s="4" t="str">
        <f>_xlfn.XLOOKUP(B31,[1]ReportePolizaPorFiltroArribas!$G$1:$G$3955,[1]ReportePolizaPorFiltroArribas!$O$1:$O$3955,"No Encontrado",0)</f>
        <v>2025-11</v>
      </c>
      <c r="D31" s="4" t="str">
        <f>_xlfn.XLOOKUP(B31,[2]Tablero!$AP$1:$AP$6608,[2]Tablero!$AE$1:$AE$6608,"No Encontrado",0)</f>
        <v>01 - RENOVADA</v>
      </c>
      <c r="F31" s="4" t="str">
        <f>IF(E31&lt;&gt;"",_xlfn.XLOOKUP(G31,pivot!$B$1:$B$34,pivot!$A$1:$A$34,"",0),"")</f>
        <v/>
      </c>
      <c r="G31" t="s">
        <v>10</v>
      </c>
      <c r="H31" t="s">
        <v>403</v>
      </c>
      <c r="M31" s="4">
        <f t="shared" si="0"/>
        <v>2</v>
      </c>
    </row>
    <row r="32" spans="1:13" hidden="1" x14ac:dyDescent="0.25">
      <c r="A32" t="s">
        <v>338</v>
      </c>
      <c r="B32" s="6">
        <v>93965515</v>
      </c>
      <c r="C32" s="4" t="str">
        <f>_xlfn.XLOOKUP(B32,[1]ReportePolizaPorFiltroArribas!$G$1:$G$3955,[1]ReportePolizaPorFiltroArribas!$O$1:$O$3955,"No Encontrado",0)</f>
        <v>2025-11</v>
      </c>
      <c r="D32" s="4" t="str">
        <f>_xlfn.XLOOKUP(B32,[2]Tablero!$AP$1:$AP$6608,[2]Tablero!$AE$1:$AE$6608,"No Encontrado",0)</f>
        <v>03 - PENDIENTE</v>
      </c>
      <c r="F32" s="4" t="str">
        <f>IF(E32&lt;&gt;"",_xlfn.XLOOKUP(G32,pivot!$B$1:$B$34,pivot!$A$1:$A$34,"",0),"")</f>
        <v/>
      </c>
      <c r="G32" s="6" t="s">
        <v>10</v>
      </c>
      <c r="H32" t="s">
        <v>403</v>
      </c>
      <c r="M32" s="4">
        <f t="shared" si="0"/>
        <v>2</v>
      </c>
    </row>
    <row r="33" spans="1:13" hidden="1" x14ac:dyDescent="0.25">
      <c r="A33" t="s">
        <v>56</v>
      </c>
      <c r="B33" s="6" t="s">
        <v>57</v>
      </c>
      <c r="C33" s="4" t="str">
        <f>_xlfn.XLOOKUP(B33,[1]ReportePolizaPorFiltroArribas!$G$1:$G$3955,[1]ReportePolizaPorFiltroArribas!$O$1:$O$3955,"No Encontrado",0)</f>
        <v>No Encontrado</v>
      </c>
      <c r="D33" s="4" t="str">
        <f>_xlfn.XLOOKUP(B33,[2]Tablero!$AP$1:$AP$6608,[2]Tablero!$AE$1:$AE$6608,"No Encontrado",0)</f>
        <v>05 - ANULADA EN VIGENCIA</v>
      </c>
      <c r="F33" s="4" t="str">
        <f>IF(E33&lt;&gt;"",_xlfn.XLOOKUP(G33,pivot!$B$1:$B$34,pivot!$A$1:$A$34,"",0),"")</f>
        <v/>
      </c>
      <c r="G33" t="s">
        <v>4</v>
      </c>
      <c r="H33" t="s">
        <v>308</v>
      </c>
      <c r="M33" s="4">
        <f t="shared" si="0"/>
        <v>6</v>
      </c>
    </row>
    <row r="34" spans="1:13" hidden="1" x14ac:dyDescent="0.25">
      <c r="A34" t="s">
        <v>58</v>
      </c>
      <c r="B34" s="6" t="s">
        <v>59</v>
      </c>
      <c r="C34" s="4" t="str">
        <f>_xlfn.XLOOKUP(B34,[1]ReportePolizaPorFiltroArribas!$G$1:$G$3955,[1]ReportePolizaPorFiltroArribas!$O$1:$O$3955,"No Encontrado",0)</f>
        <v>No Encontrado</v>
      </c>
      <c r="D34" s="4" t="str">
        <f>_xlfn.XLOOKUP(B34,[2]Tablero!$AP$1:$AP$6608,[2]Tablero!$AE$1:$AE$6608,"No Encontrado",0)</f>
        <v>04 - NO RENOVADA</v>
      </c>
      <c r="F34" s="4" t="str">
        <f>IF(E34&lt;&gt;"",_xlfn.XLOOKUP(G34,pivot!$B$1:$B$34,pivot!$A$1:$A$34,"",0),"")</f>
        <v/>
      </c>
      <c r="G34" t="s">
        <v>4</v>
      </c>
      <c r="H34" t="s">
        <v>309</v>
      </c>
      <c r="M34" s="4">
        <f t="shared" si="0"/>
        <v>6</v>
      </c>
    </row>
    <row r="35" spans="1:13" hidden="1" x14ac:dyDescent="0.25">
      <c r="A35" t="s">
        <v>60</v>
      </c>
      <c r="B35" s="6" t="s">
        <v>61</v>
      </c>
      <c r="C35" s="4" t="str">
        <f>_xlfn.XLOOKUP(B35,[1]ReportePolizaPorFiltroArribas!$G$1:$G$3955,[1]ReportePolizaPorFiltroArribas!$O$1:$O$3955,"No Encontrado",0)</f>
        <v>No Encontrado</v>
      </c>
      <c r="D35" s="4" t="str">
        <f>_xlfn.XLOOKUP(B35,[2]Tablero!$AP$1:$AP$6608,[2]Tablero!$AE$1:$AE$6608,"No Encontrado",0)</f>
        <v>04 - NO RENOVADA</v>
      </c>
      <c r="F35" s="4" t="str">
        <f>IF(E35&lt;&gt;"",_xlfn.XLOOKUP(G35,pivot!$B$1:$B$34,pivot!$A$1:$A$34,"",0),"")</f>
        <v/>
      </c>
      <c r="G35" t="s">
        <v>6</v>
      </c>
      <c r="H35" t="s">
        <v>310</v>
      </c>
      <c r="M35" s="4">
        <f t="shared" si="0"/>
        <v>6</v>
      </c>
    </row>
    <row r="36" spans="1:13" hidden="1" x14ac:dyDescent="0.25">
      <c r="A36" t="s">
        <v>62</v>
      </c>
      <c r="B36" s="6" t="s">
        <v>63</v>
      </c>
      <c r="C36" s="4" t="str">
        <f>_xlfn.XLOOKUP(B36,[1]ReportePolizaPorFiltroArribas!$G$1:$G$3955,[1]ReportePolizaPorFiltroArribas!$O$1:$O$3955,"No Encontrado",0)</f>
        <v>No Encontrado</v>
      </c>
      <c r="D36" s="4" t="str">
        <f>_xlfn.XLOOKUP(B36,[2]Tablero!$AP$1:$AP$6608,[2]Tablero!$AE$1:$AE$6608,"No Encontrado",0)</f>
        <v>05 - ANULADA EN VIGENCIA</v>
      </c>
      <c r="F36" s="4" t="str">
        <f>IF(E36&lt;&gt;"",_xlfn.XLOOKUP(G36,pivot!$B$1:$B$34,pivot!$A$1:$A$34,"",0),"")</f>
        <v/>
      </c>
      <c r="G36" t="s">
        <v>4</v>
      </c>
      <c r="H36" t="s">
        <v>311</v>
      </c>
      <c r="M36" s="4">
        <f t="shared" si="0"/>
        <v>6</v>
      </c>
    </row>
    <row r="37" spans="1:13" hidden="1" x14ac:dyDescent="0.25">
      <c r="A37" t="s">
        <v>64</v>
      </c>
      <c r="B37" s="6" t="s">
        <v>65</v>
      </c>
      <c r="C37" s="4" t="str">
        <f>_xlfn.XLOOKUP(B37,[1]ReportePolizaPorFiltroArribas!$G$1:$G$3955,[1]ReportePolizaPorFiltroArribas!$O$1:$O$3955,"No Encontrado",0)</f>
        <v>No Encontrado</v>
      </c>
      <c r="D37" s="4" t="str">
        <f>_xlfn.XLOOKUP(B37,[2]Tablero!$AP$1:$AP$6608,[2]Tablero!$AE$1:$AE$6608,"No Encontrado",0)</f>
        <v>05 - ANULADA EN VIGENCIA</v>
      </c>
      <c r="F37" s="4" t="str">
        <f>IF(E37&lt;&gt;"",_xlfn.XLOOKUP(G37,pivot!$B$1:$B$34,pivot!$A$1:$A$34,"",0),"")</f>
        <v/>
      </c>
      <c r="G37" t="s">
        <v>4</v>
      </c>
      <c r="H37" t="s">
        <v>312</v>
      </c>
      <c r="M37" s="4">
        <f t="shared" si="0"/>
        <v>6</v>
      </c>
    </row>
    <row r="38" spans="1:13" hidden="1" x14ac:dyDescent="0.25">
      <c r="A38" t="s">
        <v>66</v>
      </c>
      <c r="B38" s="6">
        <v>1483595</v>
      </c>
      <c r="C38" s="4" t="str">
        <f>_xlfn.XLOOKUP(B38,[1]ReportePolizaPorFiltroArribas!$G$1:$G$3955,[1]ReportePolizaPorFiltroArribas!$O$1:$O$3955,"No Encontrado",0)</f>
        <v>2026-01</v>
      </c>
      <c r="D38" s="4" t="str">
        <f>_xlfn.XLOOKUP(B38,[2]Tablero!$AP$1:$AP$6608,[2]Tablero!$AE$1:$AE$6608,"No Encontrado",0)</f>
        <v>01 - RENOVADA</v>
      </c>
      <c r="F38" s="4" t="str">
        <f>IF(E38&lt;&gt;"",_xlfn.XLOOKUP(G38,pivot!$B$1:$B$34,pivot!$A$1:$A$34,"",0),"")</f>
        <v/>
      </c>
      <c r="G38" t="s">
        <v>7</v>
      </c>
      <c r="H38" t="s">
        <v>313</v>
      </c>
      <c r="M38" s="4">
        <f t="shared" si="0"/>
        <v>6</v>
      </c>
    </row>
    <row r="39" spans="1:13" hidden="1" x14ac:dyDescent="0.25">
      <c r="A39" t="s">
        <v>70</v>
      </c>
      <c r="B39" s="16">
        <v>67765</v>
      </c>
      <c r="C39" s="4" t="str">
        <f>_xlfn.XLOOKUP(B39,[1]ReportePolizaPorFiltroArribas!$G$1:$G$3955,[1]ReportePolizaPorFiltroArribas!$O$1:$O$3955,"No Encontrado",0)</f>
        <v>2026-01</v>
      </c>
      <c r="D39" s="4" t="str">
        <f>_xlfn.XLOOKUP(B39,[2]Tablero!$AP$1:$AP$6608,[2]Tablero!$AE$1:$AE$6608,"No Encontrado",0)</f>
        <v>01 - RENOVADA</v>
      </c>
      <c r="F39" s="4" t="str">
        <f>IF(E39&lt;&gt;"",_xlfn.XLOOKUP(G39,pivot!$B$1:$B$34,pivot!$A$1:$A$34,"",0),"")</f>
        <v/>
      </c>
      <c r="G39" s="6" t="s">
        <v>8</v>
      </c>
      <c r="H39" t="s">
        <v>380</v>
      </c>
      <c r="M39" s="4">
        <f t="shared" si="0"/>
        <v>6</v>
      </c>
    </row>
    <row r="40" spans="1:13" hidden="1" x14ac:dyDescent="0.25">
      <c r="A40" t="s">
        <v>85</v>
      </c>
      <c r="B40" s="16">
        <v>1544218</v>
      </c>
      <c r="C40" s="4" t="str">
        <f>_xlfn.XLOOKUP(B40,[1]ReportePolizaPorFiltroArribas!$G$1:$G$3955,[1]ReportePolizaPorFiltroArribas!$O$1:$O$3955,"No Encontrado",0)</f>
        <v>2026-04</v>
      </c>
      <c r="D40" s="4" t="str">
        <f>_xlfn.XLOOKUP(B40,[2]Tablero!$AP$1:$AP$6608,[2]Tablero!$AE$1:$AE$6608,"No Encontrado",0)</f>
        <v>01 - RENOVADA</v>
      </c>
      <c r="F40" s="4" t="str">
        <f>IF(E40&lt;&gt;"",_xlfn.XLOOKUP(G40,pivot!$B$1:$B$34,pivot!$A$1:$A$34,"",0),"")</f>
        <v/>
      </c>
      <c r="G40" s="6" t="s">
        <v>7</v>
      </c>
      <c r="H40" t="s">
        <v>315</v>
      </c>
      <c r="M40" s="4">
        <f t="shared" si="0"/>
        <v>6</v>
      </c>
    </row>
    <row r="41" spans="1:13" hidden="1" x14ac:dyDescent="0.25">
      <c r="A41" t="s">
        <v>72</v>
      </c>
      <c r="B41" s="16">
        <v>48599</v>
      </c>
      <c r="C41" s="4" t="str">
        <f>_xlfn.XLOOKUP(B41,[1]ReportePolizaPorFiltroArribas!$G$1:$G$3955,[1]ReportePolizaPorFiltroArribas!$O$1:$O$3955,"No Encontrado",0)</f>
        <v>2026-03</v>
      </c>
      <c r="D41" s="4" t="str">
        <f>_xlfn.XLOOKUP(B41,[2]Tablero!$AP$1:$AP$6608,[2]Tablero!$AE$1:$AE$6608,"No Encontrado",0)</f>
        <v>03 - PENDIENTE</v>
      </c>
      <c r="F41" s="4" t="str">
        <f>IF(E41&lt;&gt;"",_xlfn.XLOOKUP(G41,pivot!$B$1:$B$34,pivot!$A$1:$A$34,"",0),"")</f>
        <v/>
      </c>
      <c r="G41" s="6" t="s">
        <v>11</v>
      </c>
      <c r="H41" t="s">
        <v>456</v>
      </c>
      <c r="M41" s="4">
        <f t="shared" si="0"/>
        <v>6</v>
      </c>
    </row>
    <row r="42" spans="1:13" hidden="1" x14ac:dyDescent="0.25">
      <c r="A42" t="s">
        <v>62</v>
      </c>
      <c r="B42" s="16">
        <v>67289811</v>
      </c>
      <c r="C42" s="4" t="str">
        <f>_xlfn.XLOOKUP(B42,[1]ReportePolizaPorFiltroArribas!$G$1:$G$3955,[1]ReportePolizaPorFiltroArribas!$O$1:$O$3955,"No Encontrado",0)</f>
        <v>2026-03</v>
      </c>
      <c r="D42" s="4" t="str">
        <f>_xlfn.XLOOKUP(B42,[2]Tablero!$AP$1:$AP$6608,[2]Tablero!$AE$1:$AE$6608,"No Encontrado",0)</f>
        <v>05 - ANULADA EN VIGENCIA</v>
      </c>
      <c r="F42" s="4" t="str">
        <f>IF(E42&lt;&gt;"",_xlfn.XLOOKUP(G42,pivot!$B$1:$B$34,pivot!$A$1:$A$34,"",0),"")</f>
        <v/>
      </c>
      <c r="G42" s="6" t="s">
        <v>10</v>
      </c>
      <c r="H42" t="s">
        <v>316</v>
      </c>
      <c r="M42" s="4">
        <f t="shared" si="0"/>
        <v>6</v>
      </c>
    </row>
    <row r="43" spans="1:13" hidden="1" x14ac:dyDescent="0.25">
      <c r="A43" t="s">
        <v>132</v>
      </c>
      <c r="B43" s="16" t="s">
        <v>133</v>
      </c>
      <c r="C43" s="4" t="str">
        <f>_xlfn.XLOOKUP(B43,[1]ReportePolizaPorFiltroArribas!$G$1:$G$3955,[1]ReportePolizaPorFiltroArribas!$O$1:$O$3955,"No Encontrado",0)</f>
        <v>No Encontrado</v>
      </c>
      <c r="D43" s="4" t="str">
        <f>_xlfn.XLOOKUP(B43,[2]Tablero!$AP$1:$AP$6608,[2]Tablero!$AE$1:$AE$6608,"No Encontrado",0)</f>
        <v>04 - NO RENOVADA</v>
      </c>
      <c r="F43" s="4" t="str">
        <f>IF(E43&lt;&gt;"",_xlfn.XLOOKUP(G43,pivot!$B$1:$B$34,pivot!$A$1:$A$34,"",0),"")</f>
        <v/>
      </c>
      <c r="G43" s="6" t="s">
        <v>4</v>
      </c>
      <c r="H43" t="s">
        <v>317</v>
      </c>
      <c r="M43" s="4">
        <f t="shared" si="0"/>
        <v>6</v>
      </c>
    </row>
    <row r="44" spans="1:13" hidden="1" x14ac:dyDescent="0.25">
      <c r="A44" t="s">
        <v>187</v>
      </c>
      <c r="B44" s="6">
        <v>1300364536</v>
      </c>
      <c r="C44" s="4" t="str">
        <f>_xlfn.XLOOKUP(B44,[1]ReportePolizaPorFiltroArribas!$G$1:$G$3955,[1]ReportePolizaPorFiltroArribas!$O$1:$O$3955,"No Encontrado",0)</f>
        <v>2025-12</v>
      </c>
      <c r="D44" s="4" t="str">
        <f>_xlfn.XLOOKUP(B44,[2]Tablero!$AP$1:$AP$6608,[2]Tablero!$AE$1:$AE$6608,"No Encontrado",0)</f>
        <v>01 - RENOVADA</v>
      </c>
      <c r="F44" s="4" t="str">
        <f>IF(E44&lt;&gt;"",_xlfn.XLOOKUP(G44,pivot!$B$1:$B$34,pivot!$A$1:$A$34,"",0),"")</f>
        <v/>
      </c>
      <c r="G44" t="s">
        <v>10</v>
      </c>
      <c r="H44" t="s">
        <v>318</v>
      </c>
      <c r="M44" s="4">
        <f t="shared" si="0"/>
        <v>6</v>
      </c>
    </row>
    <row r="45" spans="1:13" hidden="1" x14ac:dyDescent="0.25">
      <c r="A45" t="s">
        <v>68</v>
      </c>
      <c r="B45" s="6">
        <v>1443523</v>
      </c>
      <c r="C45" s="4" t="str">
        <f>_xlfn.XLOOKUP(B45,[1]ReportePolizaPorFiltroArribas!$G$1:$G$3955,[1]ReportePolizaPorFiltroArribas!$O$1:$O$3955,"No Encontrado",0)</f>
        <v>2026-07</v>
      </c>
      <c r="D45" s="4" t="str">
        <f>_xlfn.XLOOKUP(B45,[2]Tablero!$AP$1:$AP$6608,[2]Tablero!$AE$1:$AE$6608,"No Encontrado",0)</f>
        <v>01 - RENOVADA</v>
      </c>
      <c r="F45" s="4" t="str">
        <f>IF(E45&lt;&gt;"",_xlfn.XLOOKUP(G45,pivot!$B$1:$B$34,pivot!$A$1:$A$34,"",0),"")</f>
        <v/>
      </c>
      <c r="G45" t="s">
        <v>7</v>
      </c>
      <c r="H45" t="s">
        <v>319</v>
      </c>
      <c r="M45" s="4">
        <f t="shared" si="0"/>
        <v>6</v>
      </c>
    </row>
    <row r="46" spans="1:13" hidden="1" x14ac:dyDescent="0.25">
      <c r="A46" t="s">
        <v>73</v>
      </c>
      <c r="B46" s="6" t="s">
        <v>74</v>
      </c>
      <c r="C46" s="4" t="str">
        <f>_xlfn.XLOOKUP(B46,[1]ReportePolizaPorFiltroArribas!$G$1:$G$3955,[1]ReportePolizaPorFiltroArribas!$O$1:$O$3955,"No Encontrado",0)</f>
        <v>2025-12</v>
      </c>
      <c r="D46" s="4" t="str">
        <f>_xlfn.XLOOKUP(B46,[2]Tablero!$AP$1:$AP$6608,[2]Tablero!$AE$1:$AE$6608,"No Encontrado",0)</f>
        <v>03 - PENDIENTE</v>
      </c>
      <c r="F46" s="4" t="str">
        <f>IF(E46&lt;&gt;"",_xlfn.XLOOKUP(G46,pivot!$B$1:$B$34,pivot!$A$1:$A$34,"",0),"")</f>
        <v/>
      </c>
      <c r="G46" t="s">
        <v>4</v>
      </c>
      <c r="H46" t="s">
        <v>320</v>
      </c>
      <c r="M46" s="4">
        <f t="shared" si="0"/>
        <v>6</v>
      </c>
    </row>
    <row r="47" spans="1:13" hidden="1" x14ac:dyDescent="0.25">
      <c r="A47" t="s">
        <v>115</v>
      </c>
      <c r="B47" s="6">
        <v>54590</v>
      </c>
      <c r="C47" s="4" t="str">
        <f>_xlfn.XLOOKUP(B47,[1]ReportePolizaPorFiltroArribas!$G$1:$G$3955,[1]ReportePolizaPorFiltroArribas!$O$1:$O$3955,"No Encontrado",0)</f>
        <v>2026-09</v>
      </c>
      <c r="D47" s="4" t="str">
        <f>_xlfn.XLOOKUP(B47,[2]Tablero!$AP$1:$AP$6608,[2]Tablero!$AE$1:$AE$6608,"No Encontrado",0)</f>
        <v>03 - PENDIENTE</v>
      </c>
      <c r="F47" s="4" t="str">
        <f>IF(E47&lt;&gt;"",_xlfn.XLOOKUP(G47,pivot!$B$1:$B$34,pivot!$A$1:$A$34,"",0),"")</f>
        <v/>
      </c>
      <c r="G47" t="s">
        <v>9</v>
      </c>
      <c r="H47" t="s">
        <v>321</v>
      </c>
      <c r="M47" s="4">
        <f t="shared" si="0"/>
        <v>6</v>
      </c>
    </row>
    <row r="48" spans="1:13" hidden="1" x14ac:dyDescent="0.25">
      <c r="A48" t="s">
        <v>384</v>
      </c>
      <c r="B48" s="16">
        <v>54605</v>
      </c>
      <c r="C48" s="4" t="str">
        <f>_xlfn.XLOOKUP(B48,[1]ReportePolizaPorFiltroArribas!$G$1:$G$3955,[1]ReportePolizaPorFiltroArribas!$O$1:$O$3955,"No Encontrado",0)</f>
        <v>2026-09</v>
      </c>
      <c r="D48" s="4" t="str">
        <f>_xlfn.XLOOKUP(B48,[2]Tablero!$AP$1:$AP$6608,[2]Tablero!$AE$1:$AE$6608,"No Encontrado",0)</f>
        <v>03 - PENDIENTE</v>
      </c>
      <c r="F48" s="4" t="str">
        <f>IF(E48&lt;&gt;"",_xlfn.XLOOKUP(G48,pivot!$B$1:$B$34,pivot!$A$1:$A$34,"",0),"")</f>
        <v/>
      </c>
      <c r="G48" s="6" t="s">
        <v>9</v>
      </c>
      <c r="H48" t="s">
        <v>321</v>
      </c>
      <c r="M48" s="4">
        <f t="shared" si="0"/>
        <v>6</v>
      </c>
    </row>
    <row r="49" spans="1:13" hidden="1" x14ac:dyDescent="0.25">
      <c r="A49" t="s">
        <v>77</v>
      </c>
      <c r="B49" s="6">
        <v>69523</v>
      </c>
      <c r="C49" s="4" t="str">
        <f>_xlfn.XLOOKUP(B49,[1]ReportePolizaPorFiltroArribas!$G$1:$G$3955,[1]ReportePolizaPorFiltroArribas!$O$1:$O$3955,"No Encontrado",0)</f>
        <v>2026-02</v>
      </c>
      <c r="D49" s="4" t="str">
        <f>_xlfn.XLOOKUP(B49,[2]Tablero!$AP$1:$AP$6608,[2]Tablero!$AE$1:$AE$6608,"No Encontrado",0)</f>
        <v>01 - RENOVADA</v>
      </c>
      <c r="F49" s="4" t="str">
        <f>IF(E49&lt;&gt;"",_xlfn.XLOOKUP(G49,pivot!$B$1:$B$34,pivot!$A$1:$A$34,"",0),"")</f>
        <v/>
      </c>
      <c r="G49" t="s">
        <v>14</v>
      </c>
      <c r="H49" t="s">
        <v>321</v>
      </c>
      <c r="M49" s="4">
        <f t="shared" si="0"/>
        <v>6</v>
      </c>
    </row>
    <row r="50" spans="1:13" hidden="1" x14ac:dyDescent="0.25">
      <c r="A50" t="s">
        <v>106</v>
      </c>
      <c r="B50" s="6">
        <v>70152</v>
      </c>
      <c r="C50" s="4" t="str">
        <f>_xlfn.XLOOKUP(B50,[1]ReportePolizaPorFiltroArribas!$G$1:$G$3955,[1]ReportePolizaPorFiltroArribas!$O$1:$O$3955,"No Encontrado",0)</f>
        <v>2026-04</v>
      </c>
      <c r="D50" s="4" t="str">
        <f>_xlfn.XLOOKUP(B50,[2]Tablero!$AP$1:$AP$6608,[2]Tablero!$AE$1:$AE$6608,"No Encontrado",0)</f>
        <v>01 - RENOVADA</v>
      </c>
      <c r="E50" s="9"/>
      <c r="F50" s="4" t="str">
        <f>IF(E50&lt;&gt;"",_xlfn.XLOOKUP(G50,pivot!$B$1:$B$34,pivot!$A$1:$A$34,"",0),"")</f>
        <v/>
      </c>
      <c r="G50" t="s">
        <v>14</v>
      </c>
      <c r="H50" t="s">
        <v>321</v>
      </c>
      <c r="M50" s="4">
        <f t="shared" si="0"/>
        <v>6</v>
      </c>
    </row>
    <row r="51" spans="1:13" hidden="1" x14ac:dyDescent="0.25">
      <c r="A51" t="s">
        <v>106</v>
      </c>
      <c r="B51" s="6">
        <v>50846</v>
      </c>
      <c r="C51" s="4" t="str">
        <f>_xlfn.XLOOKUP(B51,[1]ReportePolizaPorFiltroArribas!$G$1:$G$3955,[1]ReportePolizaPorFiltroArribas!$O$1:$O$3955,"No Encontrado",0)</f>
        <v>2026-09</v>
      </c>
      <c r="D51" s="4" t="str">
        <f>_xlfn.XLOOKUP(B51,[2]Tablero!$AP$1:$AP$6608,[2]Tablero!$AE$1:$AE$6608,"No Encontrado",0)</f>
        <v>01 - RENOVADA</v>
      </c>
      <c r="F51" s="4" t="str">
        <f>IF(E51&lt;&gt;"",_xlfn.XLOOKUP(G51,pivot!$B$1:$B$34,pivot!$A$1:$A$34,"",0),"")</f>
        <v/>
      </c>
      <c r="G51" t="s">
        <v>9</v>
      </c>
      <c r="H51" t="s">
        <v>323</v>
      </c>
      <c r="M51" s="4">
        <f t="shared" si="0"/>
        <v>6</v>
      </c>
    </row>
    <row r="52" spans="1:13" hidden="1" x14ac:dyDescent="0.25">
      <c r="A52" t="s">
        <v>67</v>
      </c>
      <c r="B52" s="16">
        <v>102050</v>
      </c>
      <c r="C52" s="4" t="str">
        <f>_xlfn.XLOOKUP(B52,[1]ReportePolizaPorFiltroArribas!$G$1:$G$3955,[1]ReportePolizaPorFiltroArribas!$O$1:$O$3955,"No Encontrado",0)</f>
        <v>2026-02</v>
      </c>
      <c r="D52" s="4" t="str">
        <f>_xlfn.XLOOKUP(B52,[2]Tablero!$AP$1:$AP$6608,[2]Tablero!$AE$1:$AE$6608,"No Encontrado",0)</f>
        <v>01 - RENOVADA</v>
      </c>
      <c r="F52" s="4" t="str">
        <f>IF(E52&lt;&gt;"",_xlfn.XLOOKUP(G52,pivot!$B$1:$B$34,pivot!$A$1:$A$34,"",0),"")</f>
        <v/>
      </c>
      <c r="G52" s="6" t="s">
        <v>14</v>
      </c>
      <c r="H52" t="s">
        <v>324</v>
      </c>
      <c r="M52" s="4">
        <f t="shared" si="0"/>
        <v>6</v>
      </c>
    </row>
    <row r="53" spans="1:13" hidden="1" x14ac:dyDescent="0.25">
      <c r="A53" t="s">
        <v>293</v>
      </c>
      <c r="B53" s="16">
        <v>1300620053</v>
      </c>
      <c r="C53" s="4" t="str">
        <f>_xlfn.XLOOKUP(B53,[1]ReportePolizaPorFiltroArribas!$G$1:$G$3955,[1]ReportePolizaPorFiltroArribas!$O$1:$O$3955,"No Encontrado",0)</f>
        <v>2026-07</v>
      </c>
      <c r="D53" s="4" t="str">
        <f>_xlfn.XLOOKUP(B53,[2]Tablero!$AP$1:$AP$6608,[2]Tablero!$AE$1:$AE$6608,"No Encontrado",0)</f>
        <v>01 - RENOVADA</v>
      </c>
      <c r="E53" s="9"/>
      <c r="F53" s="4" t="str">
        <f>IF(E53&lt;&gt;"",_xlfn.XLOOKUP(G53,pivot!$B$1:$B$34,pivot!$A$1:$A$34,"",0),"")</f>
        <v/>
      </c>
      <c r="G53" s="6" t="s">
        <v>10</v>
      </c>
      <c r="H53" t="s">
        <v>325</v>
      </c>
      <c r="M53" s="4">
        <f t="shared" si="0"/>
        <v>6</v>
      </c>
    </row>
    <row r="54" spans="1:13" hidden="1" x14ac:dyDescent="0.25">
      <c r="A54" t="s">
        <v>122</v>
      </c>
      <c r="B54" s="6">
        <v>768638</v>
      </c>
      <c r="C54" s="4" t="str">
        <f>_xlfn.XLOOKUP(B54,[1]ReportePolizaPorFiltroArribas!$G$1:$G$3955,[1]ReportePolizaPorFiltroArribas!$O$1:$O$3955,"No Encontrado",0)</f>
        <v>2026-06</v>
      </c>
      <c r="D54" s="4" t="str">
        <f>_xlfn.XLOOKUP(B54,[2]Tablero!$AP$1:$AP$6608,[2]Tablero!$AE$1:$AE$6608,"No Encontrado",0)</f>
        <v>01 - RENOVADA</v>
      </c>
      <c r="F54" s="4" t="str">
        <f>IF(E54&lt;&gt;"",_xlfn.XLOOKUP(G54,pivot!$B$1:$B$34,pivot!$A$1:$A$34,"",0),"")</f>
        <v/>
      </c>
      <c r="G54" t="s">
        <v>7</v>
      </c>
      <c r="H54" t="s">
        <v>326</v>
      </c>
      <c r="M54" s="4">
        <f t="shared" si="0"/>
        <v>6</v>
      </c>
    </row>
    <row r="55" spans="1:13" hidden="1" x14ac:dyDescent="0.25">
      <c r="A55" t="s">
        <v>123</v>
      </c>
      <c r="B55" s="6">
        <v>1532759</v>
      </c>
      <c r="C55" s="4" t="str">
        <f>_xlfn.XLOOKUP(B55,[1]ReportePolizaPorFiltroArribas!$G$1:$G$3955,[1]ReportePolizaPorFiltroArribas!$O$1:$O$3955,"No Encontrado",0)</f>
        <v>2026-06</v>
      </c>
      <c r="D55" s="4" t="str">
        <f>_xlfn.XLOOKUP(B55,[2]Tablero!$AP$1:$AP$6608,[2]Tablero!$AE$1:$AE$6608,"No Encontrado",0)</f>
        <v>01 - RENOVADA</v>
      </c>
      <c r="F55" s="4" t="str">
        <f>IF(E55&lt;&gt;"",_xlfn.XLOOKUP(G55,pivot!$B$1:$B$34,pivot!$A$1:$A$34,"",0),"")</f>
        <v/>
      </c>
      <c r="G55" t="s">
        <v>7</v>
      </c>
      <c r="H55" t="s">
        <v>326</v>
      </c>
      <c r="M55" s="4">
        <f t="shared" si="0"/>
        <v>6</v>
      </c>
    </row>
    <row r="56" spans="1:13" hidden="1" x14ac:dyDescent="0.25">
      <c r="A56" t="s">
        <v>126</v>
      </c>
      <c r="B56" s="6">
        <v>5258</v>
      </c>
      <c r="C56" s="4" t="str">
        <f>_xlfn.XLOOKUP(B56,[1]ReportePolizaPorFiltroArribas!$G$1:$G$3955,[1]ReportePolizaPorFiltroArribas!$O$1:$O$3955,"No Encontrado",0)</f>
        <v>2026-08</v>
      </c>
      <c r="D56" s="4" t="str">
        <f>_xlfn.XLOOKUP(B56,[2]Tablero!$AP$1:$AP$6608,[2]Tablero!$AE$1:$AE$6608,"No Encontrado",0)</f>
        <v>01 - RENOVADA</v>
      </c>
      <c r="F56" s="4" t="str">
        <f>IF(E56&lt;&gt;"",_xlfn.XLOOKUP(G56,pivot!$B$1:$B$34,pivot!$A$1:$A$34,"",0),"")</f>
        <v/>
      </c>
      <c r="G56" s="6" t="s">
        <v>16</v>
      </c>
      <c r="H56" t="s">
        <v>327</v>
      </c>
      <c r="M56" s="4">
        <f t="shared" si="0"/>
        <v>6</v>
      </c>
    </row>
    <row r="57" spans="1:13" hidden="1" x14ac:dyDescent="0.25">
      <c r="A57" t="s">
        <v>128</v>
      </c>
      <c r="B57" s="6" t="s">
        <v>129</v>
      </c>
      <c r="C57" s="4" t="str">
        <f>_xlfn.XLOOKUP(B57,[1]ReportePolizaPorFiltroArribas!$G$1:$G$3955,[1]ReportePolizaPorFiltroArribas!$O$1:$O$3955,"No Encontrado",0)</f>
        <v>2026-04</v>
      </c>
      <c r="D57" s="4" t="str">
        <f>_xlfn.XLOOKUP(B57,[2]Tablero!$AP$1:$AP$6608,[2]Tablero!$AE$1:$AE$6608,"No Encontrado",0)</f>
        <v>01 - RENOVADA</v>
      </c>
      <c r="E57" s="9"/>
      <c r="F57" s="4" t="str">
        <f>IF(E57&lt;&gt;"",_xlfn.XLOOKUP(G57,pivot!$B$1:$B$34,pivot!$A$1:$A$34,"",0),"")</f>
        <v/>
      </c>
      <c r="G57" t="s">
        <v>4</v>
      </c>
      <c r="H57" t="s">
        <v>346</v>
      </c>
      <c r="M57" s="4">
        <f t="shared" si="0"/>
        <v>6</v>
      </c>
    </row>
    <row r="58" spans="1:13" hidden="1" x14ac:dyDescent="0.25">
      <c r="A58" t="s">
        <v>344</v>
      </c>
      <c r="B58" s="16">
        <v>1512436</v>
      </c>
      <c r="C58" s="4" t="str">
        <f>_xlfn.XLOOKUP(B58,[1]ReportePolizaPorFiltroArribas!$G$1:$G$3955,[1]ReportePolizaPorFiltroArribas!$O$1:$O$3955,"No Encontrado",0)</f>
        <v>2026-04</v>
      </c>
      <c r="D58" s="4" t="str">
        <f>_xlfn.XLOOKUP(B58,[2]Tablero!$AP$1:$AP$6608,[2]Tablero!$AE$1:$AE$6608,"No Encontrado",0)</f>
        <v>01 - RENOVADA</v>
      </c>
      <c r="E58" s="9"/>
      <c r="F58" s="4" t="str">
        <f>IF(E58&lt;&gt;"",_xlfn.XLOOKUP(G58,pivot!$B$1:$B$34,pivot!$A$1:$A$34,"",0),"")</f>
        <v/>
      </c>
      <c r="G58" s="6" t="s">
        <v>7</v>
      </c>
      <c r="H58" t="s">
        <v>328</v>
      </c>
      <c r="M58" s="4">
        <f t="shared" si="0"/>
        <v>6</v>
      </c>
    </row>
    <row r="59" spans="1:13" hidden="1" x14ac:dyDescent="0.25">
      <c r="A59" t="s">
        <v>115</v>
      </c>
      <c r="B59" s="16">
        <v>54624</v>
      </c>
      <c r="C59" s="4" t="str">
        <f>_xlfn.XLOOKUP(B59,[1]ReportePolizaPorFiltroArribas!$G$1:$G$3955,[1]ReportePolizaPorFiltroArribas!$O$1:$O$3955,"No Encontrado",0)</f>
        <v>2026-09</v>
      </c>
      <c r="D59" s="4" t="str">
        <f>_xlfn.XLOOKUP(B59,[2]Tablero!$AP$1:$AP$6608,[2]Tablero!$AE$1:$AE$6608,"No Encontrado",0)</f>
        <v>No Encontrado</v>
      </c>
      <c r="F59" s="4" t="str">
        <f>IF(E59&lt;&gt;"",_xlfn.XLOOKUP(G59,pivot!$B$1:$B$34,pivot!$A$1:$A$34,"",0),"")</f>
        <v/>
      </c>
      <c r="G59" s="6" t="s">
        <v>9</v>
      </c>
      <c r="H59" t="s">
        <v>329</v>
      </c>
      <c r="M59" s="4">
        <f t="shared" si="0"/>
        <v>6</v>
      </c>
    </row>
    <row r="60" spans="1:13" hidden="1" x14ac:dyDescent="0.25">
      <c r="A60" t="s">
        <v>472</v>
      </c>
      <c r="B60" s="6">
        <v>1300173825</v>
      </c>
      <c r="C60" s="4" t="str">
        <f>_xlfn.XLOOKUP(B60,[1]ReportePolizaPorFiltroArribas!$G$1:$G$3955,[1]ReportePolizaPorFiltroArribas!$O$1:$O$3955,"No Encontrado",0)</f>
        <v>2025-11</v>
      </c>
      <c r="D60" s="4" t="str">
        <f>_xlfn.XLOOKUP(B60,[2]Tablero!$AP$1:$AP$6608,[2]Tablero!$AE$1:$AE$6608,"No Encontrado",0)</f>
        <v>No Encontrado</v>
      </c>
      <c r="F60" s="4" t="str">
        <f>IF(E60&lt;&gt;"",_xlfn.XLOOKUP(G60,pivot!$B$1:$B$34,pivot!$A$1:$A$34,"",0),"")</f>
        <v/>
      </c>
      <c r="G60" t="s">
        <v>10</v>
      </c>
      <c r="H60" t="s">
        <v>403</v>
      </c>
      <c r="M60" s="4">
        <f t="shared" si="0"/>
        <v>2</v>
      </c>
    </row>
    <row r="61" spans="1:13" hidden="1" x14ac:dyDescent="0.25">
      <c r="A61" t="s">
        <v>187</v>
      </c>
      <c r="B61" s="6" t="s">
        <v>356</v>
      </c>
      <c r="C61" s="4" t="str">
        <f>_xlfn.XLOOKUP(B61,[1]ReportePolizaPorFiltroArribas!$G$1:$G$3955,[1]ReportePolizaPorFiltroArribas!$O$1:$O$3955,"No Encontrado",0)</f>
        <v>2026-08</v>
      </c>
      <c r="D61" s="4" t="str">
        <f>_xlfn.XLOOKUP(B61,[2]Tablero!$AP$1:$AP$6608,[2]Tablero!$AE$1:$AE$6608,"No Encontrado",0)</f>
        <v>01 - RENOVADA</v>
      </c>
      <c r="F61" s="4" t="str">
        <f>IF(E61&lt;&gt;"",_xlfn.XLOOKUP(G61,pivot!$B$1:$B$34,pivot!$A$1:$A$34,"",0),"")</f>
        <v/>
      </c>
      <c r="G61" t="s">
        <v>4</v>
      </c>
      <c r="H61" t="s">
        <v>364</v>
      </c>
      <c r="M61" s="4">
        <f t="shared" si="0"/>
        <v>6</v>
      </c>
    </row>
    <row r="62" spans="1:13" hidden="1" x14ac:dyDescent="0.25">
      <c r="A62" t="s">
        <v>82</v>
      </c>
      <c r="B62" s="6">
        <v>36051</v>
      </c>
      <c r="C62" s="4" t="str">
        <f>_xlfn.XLOOKUP(B62,[1]ReportePolizaPorFiltroArribas!$G$1:$G$3955,[1]ReportePolizaPorFiltroArribas!$O$1:$O$3955,"No Encontrado",0)</f>
        <v>2026-06</v>
      </c>
      <c r="D62" s="4" t="str">
        <f>_xlfn.XLOOKUP(B62,[2]Tablero!$AP$1:$AP$6608,[2]Tablero!$AE$1:$AE$6608,"No Encontrado",0)</f>
        <v>01 - RENOVADA</v>
      </c>
      <c r="F62" s="4" t="str">
        <f>IF(E62&lt;&gt;"",_xlfn.XLOOKUP(G62,pivot!$B$1:$B$34,pivot!$A$1:$A$34,"",0),"")</f>
        <v/>
      </c>
      <c r="G62" t="s">
        <v>8</v>
      </c>
      <c r="H62" t="s">
        <v>330</v>
      </c>
      <c r="M62" s="4">
        <f t="shared" si="0"/>
        <v>6</v>
      </c>
    </row>
    <row r="63" spans="1:13" hidden="1" x14ac:dyDescent="0.25">
      <c r="A63" t="s">
        <v>78</v>
      </c>
      <c r="B63" s="6">
        <v>44936820</v>
      </c>
      <c r="C63" s="4" t="str">
        <f>_xlfn.XLOOKUP(B63,[1]ReportePolizaPorFiltroArribas!$G$1:$G$3955,[1]ReportePolizaPorFiltroArribas!$O$1:$O$3955,"No Encontrado",0)</f>
        <v>2026-06</v>
      </c>
      <c r="D63" s="4" t="str">
        <f>_xlfn.XLOOKUP(B63,[2]Tablero!$AP$1:$AP$6608,[2]Tablero!$AE$1:$AE$6608,"No Encontrado",0)</f>
        <v>03 - PENDIENTE</v>
      </c>
      <c r="F63" s="4" t="str">
        <f>IF(E63&lt;&gt;"",_xlfn.XLOOKUP(G63,pivot!$B$1:$B$34,pivot!$A$1:$A$34,"",0),"")</f>
        <v/>
      </c>
      <c r="G63" t="s">
        <v>13</v>
      </c>
      <c r="H63" t="s">
        <v>365</v>
      </c>
      <c r="M63" s="4">
        <f t="shared" si="0"/>
        <v>6</v>
      </c>
    </row>
    <row r="64" spans="1:13" hidden="1" x14ac:dyDescent="0.25">
      <c r="A64" t="s">
        <v>83</v>
      </c>
      <c r="B64" s="16">
        <v>39658</v>
      </c>
      <c r="C64" s="4" t="str">
        <f>_xlfn.XLOOKUP(B64,[1]ReportePolizaPorFiltroArribas!$G$1:$G$3955,[1]ReportePolizaPorFiltroArribas!$O$1:$O$3955,"No Encontrado",0)</f>
        <v>2026-02</v>
      </c>
      <c r="D64" s="4" t="str">
        <f>_xlfn.XLOOKUP(B64,[2]Tablero!$AP$1:$AP$6608,[2]Tablero!$AE$1:$AE$6608,"No Encontrado",0)</f>
        <v>01 - RENOVADA</v>
      </c>
      <c r="E64" s="9"/>
      <c r="F64" s="4" t="str">
        <f>IF(E64&lt;&gt;"",_xlfn.XLOOKUP(G64,pivot!$B$1:$B$34,pivot!$A$1:$A$34,"",0),"")</f>
        <v/>
      </c>
      <c r="G64" s="6" t="s">
        <v>8</v>
      </c>
      <c r="H64" t="s">
        <v>366</v>
      </c>
      <c r="M64" s="4">
        <f t="shared" si="0"/>
        <v>6</v>
      </c>
    </row>
    <row r="65" spans="1:13" hidden="1" x14ac:dyDescent="0.25">
      <c r="A65" t="s">
        <v>222</v>
      </c>
      <c r="B65" s="16">
        <v>1300376784</v>
      </c>
      <c r="C65" s="4" t="str">
        <f>_xlfn.XLOOKUP(B65,[1]ReportePolizaPorFiltroArribas!$G$1:$G$3955,[1]ReportePolizaPorFiltroArribas!$O$1:$O$3955,"No Encontrado",0)</f>
        <v>2025-12</v>
      </c>
      <c r="D65" s="4" t="str">
        <f>_xlfn.XLOOKUP(B65,[2]Tablero!$AP$1:$AP$6608,[2]Tablero!$AE$1:$AE$6608,"No Encontrado",0)</f>
        <v>01 - RENOVADA</v>
      </c>
      <c r="F65" s="4" t="str">
        <f>IF(E65&lt;&gt;"",_xlfn.XLOOKUP(G65,pivot!$B$1:$B$34,pivot!$A$1:$A$34,"",0),"")</f>
        <v/>
      </c>
      <c r="G65" s="6" t="s">
        <v>10</v>
      </c>
      <c r="H65" t="s">
        <v>331</v>
      </c>
      <c r="M65" s="4">
        <f t="shared" si="0"/>
        <v>6</v>
      </c>
    </row>
    <row r="66" spans="1:13" hidden="1" x14ac:dyDescent="0.25">
      <c r="A66" t="s">
        <v>476</v>
      </c>
      <c r="B66" s="6">
        <v>94445894</v>
      </c>
      <c r="C66" s="4" t="str">
        <f>_xlfn.XLOOKUP(B66,[1]ReportePolizaPorFiltroArribas!$G$1:$G$3955,[1]ReportePolizaPorFiltroArribas!$O$1:$O$3955,"No Encontrado",0)</f>
        <v>2025-11</v>
      </c>
      <c r="D66" s="4" t="str">
        <f>_xlfn.XLOOKUP(B66,[2]Tablero!$AP$1:$AP$6608,[2]Tablero!$AE$1:$AE$6608,"No Encontrado",0)</f>
        <v>03 - PENDIENTE</v>
      </c>
      <c r="F66" s="4" t="str">
        <f>IF(E66&lt;&gt;"",_xlfn.XLOOKUP(G66,pivot!$B$1:$B$34,pivot!$A$1:$A$34,"",0),"")</f>
        <v/>
      </c>
      <c r="G66" t="s">
        <v>10</v>
      </c>
      <c r="H66" t="s">
        <v>506</v>
      </c>
      <c r="M66" s="4">
        <f t="shared" si="0"/>
        <v>2</v>
      </c>
    </row>
    <row r="67" spans="1:13" hidden="1" x14ac:dyDescent="0.25">
      <c r="A67" t="s">
        <v>88</v>
      </c>
      <c r="B67" s="6" t="s">
        <v>89</v>
      </c>
      <c r="C67" s="4" t="str">
        <f>_xlfn.XLOOKUP(B67,[1]ReportePolizaPorFiltroArribas!$G$1:$G$3955,[1]ReportePolizaPorFiltroArribas!$O$1:$O$3955,"No Encontrado",0)</f>
        <v>2026-04</v>
      </c>
      <c r="D67" s="4" t="str">
        <f>_xlfn.XLOOKUP(B67,[2]Tablero!$AP$1:$AP$6608,[2]Tablero!$AE$1:$AE$6608,"No Encontrado",0)</f>
        <v>01 - RENOVADA</v>
      </c>
      <c r="F67" s="4" t="str">
        <f>IF(E67&lt;&gt;"",_xlfn.XLOOKUP(G67,pivot!$B$1:$B$34,pivot!$A$1:$A$34,"",0),"")</f>
        <v/>
      </c>
      <c r="G67" t="s">
        <v>4</v>
      </c>
      <c r="H67" t="s">
        <v>332</v>
      </c>
      <c r="M67" s="4">
        <f t="shared" ref="M67:M130" si="1">IF(C67&lt;=TEXT(H67,"YYYY-MM"),2,6)</f>
        <v>6</v>
      </c>
    </row>
    <row r="68" spans="1:13" hidden="1" x14ac:dyDescent="0.25">
      <c r="A68" t="s">
        <v>90</v>
      </c>
      <c r="B68" s="6" t="s">
        <v>91</v>
      </c>
      <c r="C68" s="4" t="str">
        <f>_xlfn.XLOOKUP(B68,[1]ReportePolizaPorFiltroArribas!$G$1:$G$3955,[1]ReportePolizaPorFiltroArribas!$O$1:$O$3955,"No Encontrado",0)</f>
        <v>2026-04</v>
      </c>
      <c r="D68" s="4" t="str">
        <f>_xlfn.XLOOKUP(B68,[2]Tablero!$AP$1:$AP$6608,[2]Tablero!$AE$1:$AE$6608,"No Encontrado",0)</f>
        <v>01 - RENOVADA</v>
      </c>
      <c r="F68" s="4" t="str">
        <f>IF(E68&lt;&gt;"",_xlfn.XLOOKUP(G68,pivot!$B$1:$B$34,pivot!$A$1:$A$34,"",0),"")</f>
        <v/>
      </c>
      <c r="G68" t="s">
        <v>4</v>
      </c>
      <c r="H68" t="s">
        <v>332</v>
      </c>
      <c r="M68" s="4">
        <f t="shared" si="1"/>
        <v>6</v>
      </c>
    </row>
    <row r="69" spans="1:13" hidden="1" x14ac:dyDescent="0.25">
      <c r="A69" t="s">
        <v>98</v>
      </c>
      <c r="B69" s="6" t="s">
        <v>99</v>
      </c>
      <c r="C69" s="4" t="str">
        <f>_xlfn.XLOOKUP(B69,[1]ReportePolizaPorFiltroArribas!$G$1:$G$3955,[1]ReportePolizaPorFiltroArribas!$O$1:$O$3955,"No Encontrado",0)</f>
        <v>2026-03</v>
      </c>
      <c r="D69" s="4" t="str">
        <f>_xlfn.XLOOKUP(B69,[2]Tablero!$AP$1:$AP$6608,[2]Tablero!$AE$1:$AE$6608,"No Encontrado",0)</f>
        <v>01 - RENOVADA</v>
      </c>
      <c r="F69" s="4" t="str">
        <f>IF(E69&lt;&gt;"",_xlfn.XLOOKUP(G69,pivot!$B$1:$B$34,pivot!$A$1:$A$34,"",0),"")</f>
        <v/>
      </c>
      <c r="G69" t="s">
        <v>4</v>
      </c>
      <c r="H69" t="s">
        <v>332</v>
      </c>
      <c r="M69" s="4">
        <f t="shared" si="1"/>
        <v>6</v>
      </c>
    </row>
    <row r="70" spans="1:13" hidden="1" x14ac:dyDescent="0.25">
      <c r="A70" t="s">
        <v>249</v>
      </c>
      <c r="B70" s="6" t="s">
        <v>250</v>
      </c>
      <c r="C70" s="4" t="str">
        <f>_xlfn.XLOOKUP(B70,[1]ReportePolizaPorFiltroArribas!$G$1:$G$3955,[1]ReportePolizaPorFiltroArribas!$O$1:$O$3955,"No Encontrado",0)</f>
        <v>2026-08</v>
      </c>
      <c r="D70" s="4" t="str">
        <f>_xlfn.XLOOKUP(B70,[2]Tablero!$AP$1:$AP$6608,[2]Tablero!$AE$1:$AE$6608,"No Encontrado",0)</f>
        <v>01 - RENOVADA</v>
      </c>
      <c r="F70" s="4" t="str">
        <f>IF(E70&lt;&gt;"",_xlfn.XLOOKUP(G70,pivot!$B$1:$B$34,pivot!$A$1:$A$34,"",0),"")</f>
        <v/>
      </c>
      <c r="G70" t="s">
        <v>4</v>
      </c>
      <c r="H70" t="s">
        <v>332</v>
      </c>
      <c r="M70" s="4">
        <f t="shared" si="1"/>
        <v>6</v>
      </c>
    </row>
    <row r="71" spans="1:13" hidden="1" x14ac:dyDescent="0.25">
      <c r="A71" t="s">
        <v>218</v>
      </c>
      <c r="B71" s="6" t="s">
        <v>225</v>
      </c>
      <c r="C71" s="4" t="str">
        <f>_xlfn.XLOOKUP(B71,[1]ReportePolizaPorFiltroArribas!$G$1:$G$3955,[1]ReportePolizaPorFiltroArribas!$O$1:$O$3955,"No Encontrado",0)</f>
        <v>2026-03</v>
      </c>
      <c r="D71" s="4" t="str">
        <f>_xlfn.XLOOKUP(B71,[2]Tablero!$AP$1:$AP$6608,[2]Tablero!$AE$1:$AE$6608,"No Encontrado",0)</f>
        <v>01 - RENOVADA</v>
      </c>
      <c r="F71" s="4" t="str">
        <f>IF(E71&lt;&gt;"",_xlfn.XLOOKUP(G71,pivot!$B$1:$B$34,pivot!$A$1:$A$34,"",0),"")</f>
        <v/>
      </c>
      <c r="G71" t="s">
        <v>4</v>
      </c>
      <c r="H71" t="s">
        <v>332</v>
      </c>
      <c r="M71" s="4">
        <f t="shared" si="1"/>
        <v>6</v>
      </c>
    </row>
    <row r="72" spans="1:13" hidden="1" x14ac:dyDescent="0.25">
      <c r="A72" t="s">
        <v>92</v>
      </c>
      <c r="B72" s="6" t="s">
        <v>93</v>
      </c>
      <c r="C72" s="4" t="str">
        <f>_xlfn.XLOOKUP(B72,[1]ReportePolizaPorFiltroArribas!$G$1:$G$3955,[1]ReportePolizaPorFiltroArribas!$O$1:$O$3955,"No Encontrado",0)</f>
        <v>2026-04</v>
      </c>
      <c r="D72" s="4" t="str">
        <f>_xlfn.XLOOKUP(B72,[2]Tablero!$AP$1:$AP$6608,[2]Tablero!$AE$1:$AE$6608,"No Encontrado",0)</f>
        <v>01 - RENOVADA</v>
      </c>
      <c r="F72" s="4" t="str">
        <f>IF(E72&lt;&gt;"",_xlfn.XLOOKUP(G72,pivot!$B$1:$B$34,pivot!$A$1:$A$34,"",0),"")</f>
        <v/>
      </c>
      <c r="G72" t="s">
        <v>4</v>
      </c>
      <c r="H72" t="s">
        <v>332</v>
      </c>
      <c r="M72" s="4">
        <f t="shared" si="1"/>
        <v>6</v>
      </c>
    </row>
    <row r="73" spans="1:13" hidden="1" x14ac:dyDescent="0.25">
      <c r="A73" t="s">
        <v>94</v>
      </c>
      <c r="B73" s="6" t="s">
        <v>95</v>
      </c>
      <c r="C73" s="4" t="str">
        <f>_xlfn.XLOOKUP(B73,[1]ReportePolizaPorFiltroArribas!$G$1:$G$3955,[1]ReportePolizaPorFiltroArribas!$O$1:$O$3955,"No Encontrado",0)</f>
        <v>2026-04</v>
      </c>
      <c r="D73" s="4" t="str">
        <f>_xlfn.XLOOKUP(B73,[2]Tablero!$AP$1:$AP$6608,[2]Tablero!$AE$1:$AE$6608,"No Encontrado",0)</f>
        <v>01 - RENOVADA</v>
      </c>
      <c r="F73" s="4" t="str">
        <f>IF(E73&lt;&gt;"",_xlfn.XLOOKUP(G73,pivot!$B$1:$B$34,pivot!$A$1:$A$34,"",0),"")</f>
        <v/>
      </c>
      <c r="G73" t="s">
        <v>4</v>
      </c>
      <c r="H73" t="s">
        <v>332</v>
      </c>
      <c r="M73" s="4">
        <f t="shared" si="1"/>
        <v>6</v>
      </c>
    </row>
    <row r="74" spans="1:13" hidden="1" x14ac:dyDescent="0.25">
      <c r="A74" t="s">
        <v>221</v>
      </c>
      <c r="B74" s="6" t="s">
        <v>467</v>
      </c>
      <c r="C74" s="4" t="str">
        <f>_xlfn.XLOOKUP(B74,[1]ReportePolizaPorFiltroArribas!$G$1:$G$3955,[1]ReportePolizaPorFiltroArribas!$O$1:$O$3955,"No Encontrado",0)</f>
        <v>2026-08</v>
      </c>
      <c r="D74" s="4" t="str">
        <f>_xlfn.XLOOKUP(B74,[2]Tablero!$AP$1:$AP$6608,[2]Tablero!$AE$1:$AE$6608,"No Encontrado",0)</f>
        <v>01 - RENOVADA</v>
      </c>
      <c r="F74" s="4" t="str">
        <f>IF(E74&lt;&gt;"",_xlfn.XLOOKUP(G74,pivot!$B$1:$B$34,pivot!$A$1:$A$34,"",0),"")</f>
        <v/>
      </c>
      <c r="G74" t="s">
        <v>4</v>
      </c>
      <c r="H74" t="s">
        <v>332</v>
      </c>
      <c r="M74" s="4">
        <f t="shared" si="1"/>
        <v>6</v>
      </c>
    </row>
    <row r="75" spans="1:13" hidden="1" x14ac:dyDescent="0.25">
      <c r="A75" t="s">
        <v>222</v>
      </c>
      <c r="B75" s="6" t="s">
        <v>223</v>
      </c>
      <c r="C75" s="4" t="str">
        <f>_xlfn.XLOOKUP(B75,[1]ReportePolizaPorFiltroArribas!$G$1:$G$3955,[1]ReportePolizaPorFiltroArribas!$O$1:$O$3955,"No Encontrado",0)</f>
        <v>2025-12</v>
      </c>
      <c r="D75" s="4" t="str">
        <f>_xlfn.XLOOKUP(B75,[2]Tablero!$AP$1:$AP$6608,[2]Tablero!$AE$1:$AE$6608,"No Encontrado",0)</f>
        <v>03 - PENDIENTE</v>
      </c>
      <c r="F75" s="4" t="str">
        <f>IF(E75&lt;&gt;"",_xlfn.XLOOKUP(G75,pivot!$B$1:$B$34,pivot!$A$1:$A$34,"",0),"")</f>
        <v/>
      </c>
      <c r="G75" t="s">
        <v>4</v>
      </c>
      <c r="H75" t="s">
        <v>332</v>
      </c>
      <c r="M75" s="4">
        <f t="shared" si="1"/>
        <v>6</v>
      </c>
    </row>
    <row r="76" spans="1:13" hidden="1" x14ac:dyDescent="0.25">
      <c r="A76" t="s">
        <v>86</v>
      </c>
      <c r="B76" s="6" t="s">
        <v>100</v>
      </c>
      <c r="C76" s="4" t="str">
        <f>_xlfn.XLOOKUP(B76,[1]ReportePolizaPorFiltroArribas!$G$1:$G$3955,[1]ReportePolizaPorFiltroArribas!$O$1:$O$3955,"No Encontrado",0)</f>
        <v>2026-08</v>
      </c>
      <c r="D76" s="4" t="str">
        <f>_xlfn.XLOOKUP(B76,[2]Tablero!$AP$1:$AP$6608,[2]Tablero!$AE$1:$AE$6608,"No Encontrado",0)</f>
        <v>01 - RENOVADA</v>
      </c>
      <c r="F76" s="4" t="str">
        <f>IF(E76&lt;&gt;"",_xlfn.XLOOKUP(G76,pivot!$B$1:$B$34,pivot!$A$1:$A$34,"",0),"")</f>
        <v/>
      </c>
      <c r="G76" t="s">
        <v>4</v>
      </c>
      <c r="H76" t="s">
        <v>332</v>
      </c>
      <c r="M76" s="4">
        <f t="shared" si="1"/>
        <v>6</v>
      </c>
    </row>
    <row r="77" spans="1:13" hidden="1" x14ac:dyDescent="0.25">
      <c r="A77" t="s">
        <v>134</v>
      </c>
      <c r="B77" s="6" t="s">
        <v>228</v>
      </c>
      <c r="C77" s="4" t="str">
        <f>_xlfn.XLOOKUP(B77,[1]ReportePolizaPorFiltroArribas!$G$1:$G$3955,[1]ReportePolizaPorFiltroArribas!$O$1:$O$3955,"No Encontrado",0)</f>
        <v>2026-04</v>
      </c>
      <c r="D77" s="4" t="str">
        <f>_xlfn.XLOOKUP(B77,[2]Tablero!$AP$1:$AP$6608,[2]Tablero!$AE$1:$AE$6608,"No Encontrado",0)</f>
        <v>01 - RENOVADA</v>
      </c>
      <c r="F77" s="4" t="str">
        <f>IF(E77&lt;&gt;"",_xlfn.XLOOKUP(G77,pivot!$B$1:$B$34,pivot!$A$1:$A$34,"",0),"")</f>
        <v/>
      </c>
      <c r="G77" t="s">
        <v>4</v>
      </c>
      <c r="H77" t="s">
        <v>332</v>
      </c>
      <c r="M77" s="4">
        <f t="shared" si="1"/>
        <v>6</v>
      </c>
    </row>
    <row r="78" spans="1:13" hidden="1" x14ac:dyDescent="0.25">
      <c r="A78" t="s">
        <v>101</v>
      </c>
      <c r="B78" s="16">
        <v>1488144</v>
      </c>
      <c r="C78" s="4" t="str">
        <f>_xlfn.XLOOKUP(B78,[1]ReportePolizaPorFiltroArribas!$G$1:$G$3955,[1]ReportePolizaPorFiltroArribas!$O$1:$O$3955,"No Encontrado",0)</f>
        <v>2026-01</v>
      </c>
      <c r="D78" s="4" t="str">
        <f>_xlfn.XLOOKUP(B78,[2]Tablero!$AP$1:$AP$6608,[2]Tablero!$AE$1:$AE$6608,"No Encontrado",0)</f>
        <v>01 - RENOVADA</v>
      </c>
      <c r="F78" s="4" t="str">
        <f>IF(E78&lt;&gt;"",_xlfn.XLOOKUP(G78,pivot!$B$1:$B$34,pivot!$A$1:$A$34,"",0),"")</f>
        <v/>
      </c>
      <c r="G78" s="6" t="s">
        <v>7</v>
      </c>
      <c r="H78" t="s">
        <v>332</v>
      </c>
      <c r="M78" s="4">
        <f t="shared" si="1"/>
        <v>6</v>
      </c>
    </row>
    <row r="79" spans="1:13" hidden="1" x14ac:dyDescent="0.25">
      <c r="A79" t="s">
        <v>236</v>
      </c>
      <c r="B79" s="6">
        <v>4018003390</v>
      </c>
      <c r="C79" s="4" t="str">
        <f>_xlfn.XLOOKUP(B79,[1]ReportePolizaPorFiltroArribas!$G$1:$G$3955,[1]ReportePolizaPorFiltroArribas!$O$1:$O$3955,"No Encontrado",0)</f>
        <v>2026-04</v>
      </c>
      <c r="D79" s="4" t="str">
        <f>_xlfn.XLOOKUP(B79,[2]Tablero!$AP$1:$AP$6608,[2]Tablero!$AE$1:$AE$6608,"No Encontrado",0)</f>
        <v>01 - RENOVADA</v>
      </c>
      <c r="F79" s="4" t="str">
        <f>IF(E79&lt;&gt;"",_xlfn.XLOOKUP(G79,pivot!$B$1:$B$34,pivot!$A$1:$A$34,"",0),"")</f>
        <v/>
      </c>
      <c r="G79" t="s">
        <v>37</v>
      </c>
      <c r="H79" t="s">
        <v>332</v>
      </c>
      <c r="M79" s="4">
        <f t="shared" si="1"/>
        <v>6</v>
      </c>
    </row>
    <row r="80" spans="1:13" hidden="1" x14ac:dyDescent="0.25">
      <c r="A80" t="s">
        <v>157</v>
      </c>
      <c r="B80" s="6">
        <v>55748</v>
      </c>
      <c r="C80" s="4" t="str">
        <f>_xlfn.XLOOKUP(B80,[1]ReportePolizaPorFiltroArribas!$G$1:$G$3955,[1]ReportePolizaPorFiltroArribas!$O$1:$O$3955,"No Encontrado",0)</f>
        <v>2026-04</v>
      </c>
      <c r="D80" s="4" t="str">
        <f>_xlfn.XLOOKUP(B80,[2]Tablero!$AP$1:$AP$6608,[2]Tablero!$AE$1:$AE$6608,"No Encontrado",0)</f>
        <v>01 - RENOVADA</v>
      </c>
      <c r="F80" s="4" t="str">
        <f>IF(E80&lt;&gt;"",_xlfn.XLOOKUP(G80,pivot!$B$1:$B$34,pivot!$A$1:$A$34,"",0),"")</f>
        <v/>
      </c>
      <c r="G80" t="s">
        <v>14</v>
      </c>
      <c r="H80" t="s">
        <v>332</v>
      </c>
      <c r="M80" s="4">
        <f t="shared" si="1"/>
        <v>6</v>
      </c>
    </row>
    <row r="81" spans="1:13" hidden="1" x14ac:dyDescent="0.25">
      <c r="A81" t="s">
        <v>241</v>
      </c>
      <c r="B81" s="6">
        <v>62044</v>
      </c>
      <c r="C81" s="4" t="str">
        <f>_xlfn.XLOOKUP(B81,[1]ReportePolizaPorFiltroArribas!$G$1:$G$3955,[1]ReportePolizaPorFiltroArribas!$O$1:$O$3955,"No Encontrado",0)</f>
        <v>No Encontrado</v>
      </c>
      <c r="D81" s="4" t="str">
        <f>_xlfn.XLOOKUP(B81,[2]Tablero!$AP$1:$AP$6608,[2]Tablero!$AE$1:$AE$6608,"No Encontrado",0)</f>
        <v>05 - ANULADA EN VIGENCIA</v>
      </c>
      <c r="F81" s="4" t="str">
        <f>IF(E81&lt;&gt;"",_xlfn.XLOOKUP(G81,pivot!$B$1:$B$34,pivot!$A$1:$A$34,"",0),"")</f>
        <v/>
      </c>
      <c r="G81" t="s">
        <v>8</v>
      </c>
      <c r="H81" t="s">
        <v>332</v>
      </c>
      <c r="M81" s="4">
        <f t="shared" si="1"/>
        <v>6</v>
      </c>
    </row>
    <row r="82" spans="1:13" hidden="1" x14ac:dyDescent="0.25">
      <c r="A82" t="s">
        <v>241</v>
      </c>
      <c r="B82" s="6">
        <v>90476</v>
      </c>
      <c r="C82" s="4" t="str">
        <f>_xlfn.XLOOKUP(B82,[1]ReportePolizaPorFiltroArribas!$G$1:$G$3955,[1]ReportePolizaPorFiltroArribas!$O$1:$O$3955,"No Encontrado",0)</f>
        <v>No Encontrado</v>
      </c>
      <c r="D82" s="4" t="str">
        <f>_xlfn.XLOOKUP(B82,[2]Tablero!$AP$1:$AP$6608,[2]Tablero!$AE$1:$AE$6608,"No Encontrado",0)</f>
        <v>05 - ANULADA EN VIGENCIA</v>
      </c>
      <c r="F82" s="4" t="str">
        <f>IF(E82&lt;&gt;"",_xlfn.XLOOKUP(G82,pivot!$B$1:$B$34,pivot!$A$1:$A$34,"",0),"")</f>
        <v/>
      </c>
      <c r="G82" t="s">
        <v>14</v>
      </c>
      <c r="H82" t="s">
        <v>332</v>
      </c>
      <c r="M82" s="4">
        <f t="shared" si="1"/>
        <v>6</v>
      </c>
    </row>
    <row r="83" spans="1:13" hidden="1" x14ac:dyDescent="0.25">
      <c r="A83" t="s">
        <v>71</v>
      </c>
      <c r="B83" s="6">
        <v>79146</v>
      </c>
      <c r="C83" s="4" t="str">
        <f>_xlfn.XLOOKUP(B83,[1]ReportePolizaPorFiltroArribas!$G$1:$G$3955,[1]ReportePolizaPorFiltroArribas!$O$1:$O$3955,"No Encontrado",0)</f>
        <v>2026-07</v>
      </c>
      <c r="D83" s="4" t="str">
        <f>_xlfn.XLOOKUP(B83,[2]Tablero!$AP$1:$AP$6608,[2]Tablero!$AE$1:$AE$6608,"No Encontrado",0)</f>
        <v>01 - RENOVADA</v>
      </c>
      <c r="F83" s="4" t="str">
        <f>IF(E83&lt;&gt;"",_xlfn.XLOOKUP(G83,pivot!$B$1:$B$34,pivot!$A$1:$A$34,"",0),"")</f>
        <v/>
      </c>
      <c r="G83" t="s">
        <v>14</v>
      </c>
      <c r="H83" t="s">
        <v>332</v>
      </c>
      <c r="M83" s="4">
        <f t="shared" si="1"/>
        <v>6</v>
      </c>
    </row>
    <row r="84" spans="1:13" hidden="1" x14ac:dyDescent="0.25">
      <c r="A84" t="s">
        <v>302</v>
      </c>
      <c r="B84" s="6">
        <v>67615</v>
      </c>
      <c r="C84" s="4" t="str">
        <f>_xlfn.XLOOKUP(B84,[1]ReportePolizaPorFiltroArribas!$G$1:$G$3955,[1]ReportePolizaPorFiltroArribas!$O$1:$O$3955,"No Encontrado",0)</f>
        <v>2026-09</v>
      </c>
      <c r="D84" s="4" t="str">
        <f>_xlfn.XLOOKUP(B84,[2]Tablero!$AP$1:$AP$6608,[2]Tablero!$AE$1:$AE$6608,"No Encontrado",0)</f>
        <v>01 - RENOVADA</v>
      </c>
      <c r="F84" s="4" t="str">
        <f>IF(E84&lt;&gt;"",_xlfn.XLOOKUP(G84,pivot!$B$1:$B$34,pivot!$A$1:$A$34,"",0),"")</f>
        <v/>
      </c>
      <c r="G84" t="s">
        <v>14</v>
      </c>
      <c r="H84" t="s">
        <v>332</v>
      </c>
      <c r="M84" s="4">
        <f t="shared" si="1"/>
        <v>6</v>
      </c>
    </row>
    <row r="85" spans="1:13" hidden="1" x14ac:dyDescent="0.25">
      <c r="A85" t="s">
        <v>64</v>
      </c>
      <c r="B85" s="6">
        <v>74959</v>
      </c>
      <c r="C85" s="4" t="str">
        <f>_xlfn.XLOOKUP(B85,[1]ReportePolizaPorFiltroArribas!$G$1:$G$3955,[1]ReportePolizaPorFiltroArribas!$O$1:$O$3955,"No Encontrado",0)</f>
        <v>2026-07</v>
      </c>
      <c r="D85" s="4" t="str">
        <f>_xlfn.XLOOKUP(B85,[2]Tablero!$AP$1:$AP$6608,[2]Tablero!$AE$1:$AE$6608,"No Encontrado",0)</f>
        <v>01 - RENOVADA</v>
      </c>
      <c r="F85" s="4" t="str">
        <f>IF(E85&lt;&gt;"",_xlfn.XLOOKUP(G85,pivot!$B$1:$B$34,pivot!$A$1:$A$34,"",0),"")</f>
        <v/>
      </c>
      <c r="G85" t="s">
        <v>8</v>
      </c>
      <c r="H85" t="s">
        <v>332</v>
      </c>
      <c r="M85" s="4">
        <f t="shared" si="1"/>
        <v>6</v>
      </c>
    </row>
    <row r="86" spans="1:13" hidden="1" x14ac:dyDescent="0.25">
      <c r="A86" t="s">
        <v>379</v>
      </c>
      <c r="B86" s="6">
        <v>45693</v>
      </c>
      <c r="C86" s="4" t="str">
        <f>_xlfn.XLOOKUP(B86,[1]ReportePolizaPorFiltroArribas!$G$1:$G$3955,[1]ReportePolizaPorFiltroArribas!$O$1:$O$3955,"No Encontrado",0)</f>
        <v>2026-09</v>
      </c>
      <c r="D86" s="4" t="str">
        <f>_xlfn.XLOOKUP(B86,[2]Tablero!$AP$1:$AP$6608,[2]Tablero!$AE$1:$AE$6608,"No Encontrado",0)</f>
        <v>01 - RENOVADA</v>
      </c>
      <c r="F86" s="4" t="str">
        <f>IF(E86&lt;&gt;"",_xlfn.XLOOKUP(G86,pivot!$B$1:$B$34,pivot!$A$1:$A$34,"",0),"")</f>
        <v/>
      </c>
      <c r="G86" t="s">
        <v>40</v>
      </c>
      <c r="H86" t="s">
        <v>332</v>
      </c>
      <c r="M86" s="4">
        <f t="shared" si="1"/>
        <v>6</v>
      </c>
    </row>
    <row r="87" spans="1:13" hidden="1" x14ac:dyDescent="0.25">
      <c r="A87" t="s">
        <v>115</v>
      </c>
      <c r="B87" s="6">
        <v>1300359823</v>
      </c>
      <c r="C87" s="4" t="str">
        <f>_xlfn.XLOOKUP(B87,[1]ReportePolizaPorFiltroArribas!$G$1:$G$3955,[1]ReportePolizaPorFiltroArribas!$O$1:$O$3955,"No Encontrado",0)</f>
        <v>No Encontrado</v>
      </c>
      <c r="D87" s="4" t="str">
        <f>_xlfn.XLOOKUP(B87,[2]Tablero!$AP$1:$AP$6608,[2]Tablero!$AE$1:$AE$6608,"No Encontrado",0)</f>
        <v>03 - PENDIENTE</v>
      </c>
      <c r="F87" s="4" t="str">
        <f>IF(E87&lt;&gt;"",_xlfn.XLOOKUP(G87,pivot!$B$1:$B$34,pivot!$A$1:$A$34,"",0),"")</f>
        <v/>
      </c>
      <c r="G87" t="s">
        <v>10</v>
      </c>
      <c r="H87" t="s">
        <v>333</v>
      </c>
      <c r="M87" s="4">
        <f t="shared" si="1"/>
        <v>6</v>
      </c>
    </row>
    <row r="88" spans="1:13" hidden="1" x14ac:dyDescent="0.25">
      <c r="A88" t="s">
        <v>353</v>
      </c>
      <c r="B88" s="16">
        <v>1563417</v>
      </c>
      <c r="C88" s="4" t="str">
        <f>_xlfn.XLOOKUP(B88,[1]ReportePolizaPorFiltroArribas!$G$1:$G$3955,[1]ReportePolizaPorFiltroArribas!$O$1:$O$3955,"No Encontrado",0)</f>
        <v>2026-09</v>
      </c>
      <c r="D88" s="4" t="str">
        <f>_xlfn.XLOOKUP(B88,[2]Tablero!$AP$1:$AP$6608,[2]Tablero!$AE$1:$AE$6608,"No Encontrado",0)</f>
        <v>01 - RENOVADA</v>
      </c>
      <c r="F88" s="4" t="str">
        <f>IF(E88&lt;&gt;"",_xlfn.XLOOKUP(G88,pivot!$B$1:$B$34,pivot!$A$1:$A$34,"",0),"")</f>
        <v/>
      </c>
      <c r="G88" s="6" t="s">
        <v>7</v>
      </c>
      <c r="H88" t="s">
        <v>381</v>
      </c>
      <c r="M88" s="4">
        <f t="shared" si="1"/>
        <v>6</v>
      </c>
    </row>
    <row r="89" spans="1:13" hidden="1" x14ac:dyDescent="0.25">
      <c r="A89" t="s">
        <v>77</v>
      </c>
      <c r="B89" s="6">
        <v>4664</v>
      </c>
      <c r="C89" s="4" t="str">
        <f>_xlfn.XLOOKUP(B89,[1]ReportePolizaPorFiltroArribas!$G$1:$G$3955,[1]ReportePolizaPorFiltroArribas!$O$1:$O$3955,"No Encontrado",0)</f>
        <v>2026-02</v>
      </c>
      <c r="D89" s="4" t="str">
        <f>_xlfn.XLOOKUP(B89,[2]Tablero!$AP$1:$AP$6608,[2]Tablero!$AE$1:$AE$6608,"No Encontrado",0)</f>
        <v>01 - RENOVADA</v>
      </c>
      <c r="F89" s="4" t="str">
        <f>IF(E89&lt;&gt;"",_xlfn.XLOOKUP(G89,pivot!$B$1:$B$34,pivot!$A$1:$A$34,"",0),"")</f>
        <v/>
      </c>
      <c r="G89" t="s">
        <v>17</v>
      </c>
      <c r="H89" t="s">
        <v>367</v>
      </c>
      <c r="M89" s="4">
        <f t="shared" si="1"/>
        <v>6</v>
      </c>
    </row>
    <row r="90" spans="1:13" hidden="1" x14ac:dyDescent="0.25">
      <c r="A90" t="s">
        <v>110</v>
      </c>
      <c r="B90" s="6">
        <v>39766</v>
      </c>
      <c r="C90" s="4" t="str">
        <f>_xlfn.XLOOKUP(B90,[1]ReportePolizaPorFiltroArribas!$G$1:$G$3955,[1]ReportePolizaPorFiltroArribas!$O$1:$O$3955,"No Encontrado",0)</f>
        <v>2026-05</v>
      </c>
      <c r="D90" s="4" t="str">
        <f>_xlfn.XLOOKUP(B90,[2]Tablero!$AP$1:$AP$6608,[2]Tablero!$AE$1:$AE$6608,"No Encontrado",0)</f>
        <v>01 - RENOVADA</v>
      </c>
      <c r="F90" s="4" t="str">
        <f>IF(E90&lt;&gt;"",_xlfn.XLOOKUP(G90,pivot!$B$1:$B$34,pivot!$A$1:$A$34,"",0),"")</f>
        <v/>
      </c>
      <c r="G90" t="s">
        <v>40</v>
      </c>
      <c r="H90" t="s">
        <v>367</v>
      </c>
      <c r="M90" s="4">
        <f t="shared" si="1"/>
        <v>6</v>
      </c>
    </row>
    <row r="91" spans="1:13" hidden="1" x14ac:dyDescent="0.25">
      <c r="A91" t="s">
        <v>110</v>
      </c>
      <c r="B91" s="6">
        <v>48631</v>
      </c>
      <c r="C91" s="4" t="str">
        <f>_xlfn.XLOOKUP(B91,[1]ReportePolizaPorFiltroArribas!$G$1:$G$3955,[1]ReportePolizaPorFiltroArribas!$O$1:$O$3955,"No Encontrado",0)</f>
        <v>2026-05</v>
      </c>
      <c r="D91" s="4" t="str">
        <f>_xlfn.XLOOKUP(B91,[2]Tablero!$AP$1:$AP$6608,[2]Tablero!$AE$1:$AE$6608,"No Encontrado",0)</f>
        <v>01 - RENOVADA</v>
      </c>
      <c r="F91" s="4" t="str">
        <f>IF(E91&lt;&gt;"",_xlfn.XLOOKUP(G91,pivot!$B$1:$B$34,pivot!$A$1:$A$34,"",0),"")</f>
        <v/>
      </c>
      <c r="G91" t="s">
        <v>40</v>
      </c>
      <c r="H91" t="s">
        <v>367</v>
      </c>
      <c r="M91" s="4">
        <f t="shared" si="1"/>
        <v>6</v>
      </c>
    </row>
    <row r="92" spans="1:13" hidden="1" x14ac:dyDescent="0.25">
      <c r="A92" t="s">
        <v>275</v>
      </c>
      <c r="B92" s="6">
        <v>91686</v>
      </c>
      <c r="C92" s="4" t="str">
        <f>_xlfn.XLOOKUP(B92,[1]ReportePolizaPorFiltroArribas!$G$1:$G$3955,[1]ReportePolizaPorFiltroArribas!$O$1:$O$3955,"No Encontrado",0)</f>
        <v>2026-09</v>
      </c>
      <c r="D92" s="4" t="str">
        <f>_xlfn.XLOOKUP(B92,[2]Tablero!$AP$1:$AP$6608,[2]Tablero!$AE$1:$AE$6608,"No Encontrado",0)</f>
        <v>01 - RENOVADA</v>
      </c>
      <c r="F92" s="4" t="str">
        <f>IF(E92&lt;&gt;"",_xlfn.XLOOKUP(G92,pivot!$B$1:$B$34,pivot!$A$1:$A$34,"",0),"")</f>
        <v/>
      </c>
      <c r="G92" t="s">
        <v>14</v>
      </c>
      <c r="H92" t="s">
        <v>367</v>
      </c>
      <c r="M92" s="4">
        <f t="shared" si="1"/>
        <v>6</v>
      </c>
    </row>
    <row r="93" spans="1:13" hidden="1" x14ac:dyDescent="0.25">
      <c r="A93" t="s">
        <v>384</v>
      </c>
      <c r="B93" s="6">
        <v>54674</v>
      </c>
      <c r="C93" s="4" t="str">
        <f>_xlfn.XLOOKUP(B93,[1]ReportePolizaPorFiltroArribas!$G$1:$G$3955,[1]ReportePolizaPorFiltroArribas!$O$1:$O$3955,"No Encontrado",0)</f>
        <v>2026-10</v>
      </c>
      <c r="D93" s="4" t="str">
        <f>_xlfn.XLOOKUP(B93,[2]Tablero!$AP$1:$AP$6608,[2]Tablero!$AE$1:$AE$6608,"No Encontrado",0)</f>
        <v>No Encontrado</v>
      </c>
      <c r="F93" s="4" t="str">
        <f>IF(E93&lt;&gt;"",_xlfn.XLOOKUP(G93,pivot!$B$1:$B$34,pivot!$A$1:$A$34,"",0),"")</f>
        <v/>
      </c>
      <c r="G93" t="s">
        <v>9</v>
      </c>
      <c r="H93" t="s">
        <v>367</v>
      </c>
      <c r="M93" s="4">
        <f t="shared" si="1"/>
        <v>6</v>
      </c>
    </row>
    <row r="94" spans="1:13" hidden="1" x14ac:dyDescent="0.25">
      <c r="A94" t="s">
        <v>111</v>
      </c>
      <c r="B94" s="6">
        <v>49303</v>
      </c>
      <c r="C94" s="4" t="str">
        <f>_xlfn.XLOOKUP(B94,[1]ReportePolizaPorFiltroArribas!$G$1:$G$3955,[1]ReportePolizaPorFiltroArribas!$O$1:$O$3955,"No Encontrado",0)</f>
        <v>2026-08</v>
      </c>
      <c r="D94" s="4" t="str">
        <f>_xlfn.XLOOKUP(B94,[2]Tablero!$AP$1:$AP$6608,[2]Tablero!$AE$1:$AE$6608,"No Encontrado",0)</f>
        <v>01 - RENOVADA</v>
      </c>
      <c r="F94" s="4" t="str">
        <f>IF(E94&lt;&gt;"",_xlfn.XLOOKUP(G94,pivot!$B$1:$B$34,pivot!$A$1:$A$34,"",0),"")</f>
        <v/>
      </c>
      <c r="G94" t="s">
        <v>9</v>
      </c>
      <c r="H94" t="s">
        <v>334</v>
      </c>
      <c r="M94" s="4">
        <f t="shared" si="1"/>
        <v>6</v>
      </c>
    </row>
    <row r="95" spans="1:13" hidden="1" x14ac:dyDescent="0.25">
      <c r="A95" t="s">
        <v>112</v>
      </c>
      <c r="B95" s="6">
        <v>29547</v>
      </c>
      <c r="C95" s="4" t="str">
        <f>_xlfn.XLOOKUP(B95,[1]ReportePolizaPorFiltroArribas!$G$1:$G$3955,[1]ReportePolizaPorFiltroArribas!$O$1:$O$3955,"No Encontrado",0)</f>
        <v>2026-01</v>
      </c>
      <c r="D95" s="4" t="str">
        <f>_xlfn.XLOOKUP(B95,[2]Tablero!$AP$1:$AP$6608,[2]Tablero!$AE$1:$AE$6608,"No Encontrado",0)</f>
        <v>01 - RENOVADA</v>
      </c>
      <c r="F95" s="4" t="str">
        <f>IF(E95&lt;&gt;"",_xlfn.XLOOKUP(G95,pivot!$B$1:$B$34,pivot!$A$1:$A$34,"",0),"")</f>
        <v/>
      </c>
      <c r="G95" t="s">
        <v>8</v>
      </c>
      <c r="H95" t="s">
        <v>347</v>
      </c>
      <c r="M95" s="4">
        <f t="shared" si="1"/>
        <v>6</v>
      </c>
    </row>
    <row r="96" spans="1:13" hidden="1" x14ac:dyDescent="0.25">
      <c r="A96" t="s">
        <v>283</v>
      </c>
      <c r="B96" s="6">
        <v>47444</v>
      </c>
      <c r="C96" s="4" t="str">
        <f>_xlfn.XLOOKUP(B96,[1]ReportePolizaPorFiltroArribas!$G$1:$G$3955,[1]ReportePolizaPorFiltroArribas!$O$1:$O$3955,"No Encontrado",0)</f>
        <v>2026-05</v>
      </c>
      <c r="D96" s="4" t="str">
        <f>_xlfn.XLOOKUP(B96,[2]Tablero!$AP$1:$AP$6608,[2]Tablero!$AE$1:$AE$6608,"No Encontrado",0)</f>
        <v>01 - RENOVADA</v>
      </c>
      <c r="F96" s="4" t="str">
        <f>IF(E96&lt;&gt;"",_xlfn.XLOOKUP(G96,pivot!$B$1:$B$34,pivot!$A$1:$A$34,"",0),"")</f>
        <v/>
      </c>
      <c r="G96" t="s">
        <v>9</v>
      </c>
      <c r="H96" t="s">
        <v>347</v>
      </c>
      <c r="M96" s="4">
        <f t="shared" si="1"/>
        <v>6</v>
      </c>
    </row>
    <row r="97" spans="1:13" hidden="1" x14ac:dyDescent="0.25">
      <c r="A97" t="s">
        <v>285</v>
      </c>
      <c r="B97" s="16">
        <v>64562</v>
      </c>
      <c r="C97" s="4" t="str">
        <f>_xlfn.XLOOKUP(B97,[1]ReportePolizaPorFiltroArribas!$G$1:$G$3955,[1]ReportePolizaPorFiltroArribas!$O$1:$O$3955,"No Encontrado",0)</f>
        <v>2026-06</v>
      </c>
      <c r="D97" s="4" t="str">
        <f>_xlfn.XLOOKUP(B97,[2]Tablero!$AP$1:$AP$6608,[2]Tablero!$AE$1:$AE$6608,"No Encontrado",0)</f>
        <v>01 - RENOVADA</v>
      </c>
      <c r="F97" s="4" t="str">
        <f>IF(E97&lt;&gt;"",_xlfn.XLOOKUP(G97,pivot!$B$1:$B$34,pivot!$A$1:$A$34,"",0),"")</f>
        <v/>
      </c>
      <c r="G97" s="6" t="s">
        <v>14</v>
      </c>
      <c r="H97" t="s">
        <v>347</v>
      </c>
      <c r="M97" s="4">
        <f t="shared" si="1"/>
        <v>6</v>
      </c>
    </row>
    <row r="98" spans="1:13" hidden="1" x14ac:dyDescent="0.25">
      <c r="A98" t="s">
        <v>113</v>
      </c>
      <c r="B98" s="6">
        <v>1436701</v>
      </c>
      <c r="C98" s="4" t="str">
        <f>_xlfn.XLOOKUP(B98,[1]ReportePolizaPorFiltroArribas!$G$1:$G$3955,[1]ReportePolizaPorFiltroArribas!$O$1:$O$3955,"No Encontrado",0)</f>
        <v>2026-07</v>
      </c>
      <c r="D98" s="4" t="str">
        <f>_xlfn.XLOOKUP(B98,[2]Tablero!$AP$1:$AP$6608,[2]Tablero!$AE$1:$AE$6608,"No Encontrado",0)</f>
        <v>01 - RENOVADA</v>
      </c>
      <c r="F98" s="4" t="str">
        <f>IF(E98&lt;&gt;"",_xlfn.XLOOKUP(G98,pivot!$B$1:$B$34,pivot!$A$1:$A$34,"",0),"")</f>
        <v/>
      </c>
      <c r="G98" t="s">
        <v>7</v>
      </c>
      <c r="H98" t="s">
        <v>347</v>
      </c>
      <c r="M98" s="4">
        <f t="shared" si="1"/>
        <v>6</v>
      </c>
    </row>
    <row r="99" spans="1:13" hidden="1" x14ac:dyDescent="0.25">
      <c r="A99" t="s">
        <v>114</v>
      </c>
      <c r="B99" s="6">
        <v>44125</v>
      </c>
      <c r="C99" s="4" t="str">
        <f>_xlfn.XLOOKUP(B99,[1]ReportePolizaPorFiltroArribas!$G$1:$G$3955,[1]ReportePolizaPorFiltroArribas!$O$1:$O$3955,"No Encontrado",0)</f>
        <v>2026-07</v>
      </c>
      <c r="D99" s="4" t="str">
        <f>_xlfn.XLOOKUP(B99,[2]Tablero!$AP$1:$AP$6608,[2]Tablero!$AE$1:$AE$6608,"No Encontrado",0)</f>
        <v>01 - RENOVADA</v>
      </c>
      <c r="F99" s="4" t="str">
        <f>IF(E99&lt;&gt;"",_xlfn.XLOOKUP(G99,pivot!$B$1:$B$34,pivot!$A$1:$A$34,"",0),"")</f>
        <v/>
      </c>
      <c r="G99" t="s">
        <v>14</v>
      </c>
      <c r="H99" t="s">
        <v>347</v>
      </c>
      <c r="M99" s="4">
        <f t="shared" si="1"/>
        <v>6</v>
      </c>
    </row>
    <row r="100" spans="1:13" hidden="1" x14ac:dyDescent="0.25">
      <c r="A100" t="s">
        <v>345</v>
      </c>
      <c r="B100" s="6">
        <v>44056</v>
      </c>
      <c r="C100" s="4" t="str">
        <f>_xlfn.XLOOKUP(B100,[1]ReportePolizaPorFiltroArribas!$G$1:$G$3955,[1]ReportePolizaPorFiltroArribas!$O$1:$O$3955,"No Encontrado",0)</f>
        <v>2026-10</v>
      </c>
      <c r="D100" s="4" t="str">
        <f>_xlfn.XLOOKUP(B100,[2]Tablero!$AP$1:$AP$6608,[2]Tablero!$AE$1:$AE$6608,"No Encontrado",0)</f>
        <v>01 - RENOVADA</v>
      </c>
      <c r="F100" s="4" t="str">
        <f>IF(E100&lt;&gt;"",_xlfn.XLOOKUP(G100,pivot!$B$1:$B$34,pivot!$A$1:$A$34,"",0),"")</f>
        <v/>
      </c>
      <c r="G100" t="s">
        <v>9</v>
      </c>
      <c r="H100" t="s">
        <v>347</v>
      </c>
      <c r="M100" s="4">
        <f t="shared" si="1"/>
        <v>6</v>
      </c>
    </row>
    <row r="101" spans="1:13" hidden="1" x14ac:dyDescent="0.25">
      <c r="A101" t="s">
        <v>430</v>
      </c>
      <c r="B101" s="6">
        <v>1574721</v>
      </c>
      <c r="C101" s="4" t="str">
        <f>_xlfn.XLOOKUP(B101,[1]ReportePolizaPorFiltroArribas!$G$1:$G$3955,[1]ReportePolizaPorFiltroArribas!$O$1:$O$3955,"No Encontrado",0)</f>
        <v>2026-10</v>
      </c>
      <c r="D101" s="4" t="str">
        <f>_xlfn.XLOOKUP(B101,[2]Tablero!$AP$1:$AP$6608,[2]Tablero!$AE$1:$AE$6608,"No Encontrado",0)</f>
        <v>01 - RENOVADA</v>
      </c>
      <c r="F101" s="4" t="str">
        <f>IF(E101&lt;&gt;"",_xlfn.XLOOKUP(G101,pivot!$B$1:$B$34,pivot!$A$1:$A$34,"",0),"")</f>
        <v/>
      </c>
      <c r="G101" t="s">
        <v>7</v>
      </c>
      <c r="H101" t="s">
        <v>347</v>
      </c>
      <c r="M101" s="4">
        <f t="shared" si="1"/>
        <v>6</v>
      </c>
    </row>
    <row r="102" spans="1:13" hidden="1" x14ac:dyDescent="0.25">
      <c r="A102" t="s">
        <v>306</v>
      </c>
      <c r="B102" s="6">
        <v>1529092</v>
      </c>
      <c r="C102" s="4" t="str">
        <f>_xlfn.XLOOKUP(B102,[1]ReportePolizaPorFiltroArribas!$G$1:$G$3955,[1]ReportePolizaPorFiltroArribas!$O$1:$O$3955,"No Encontrado",0)</f>
        <v>2026-05</v>
      </c>
      <c r="D102" s="4" t="str">
        <f>_xlfn.XLOOKUP(B102,[2]Tablero!$AP$1:$AP$6608,[2]Tablero!$AE$1:$AE$6608,"No Encontrado",0)</f>
        <v>01 - RENOVADA</v>
      </c>
      <c r="F102" s="4" t="str">
        <f>IF(E102&lt;&gt;"",_xlfn.XLOOKUP(G102,pivot!$B$1:$B$34,pivot!$A$1:$A$34,"",0),"")</f>
        <v/>
      </c>
      <c r="G102" t="s">
        <v>7</v>
      </c>
      <c r="H102" t="s">
        <v>335</v>
      </c>
      <c r="M102" s="4">
        <f t="shared" si="1"/>
        <v>6</v>
      </c>
    </row>
    <row r="103" spans="1:13" hidden="1" x14ac:dyDescent="0.25">
      <c r="A103" t="s">
        <v>384</v>
      </c>
      <c r="B103" s="6">
        <v>1300638450</v>
      </c>
      <c r="C103" s="4" t="str">
        <f>_xlfn.XLOOKUP(B103,[1]ReportePolizaPorFiltroArribas!$G$1:$G$3955,[1]ReportePolizaPorFiltroArribas!$O$1:$O$3955,"No Encontrado",0)</f>
        <v>2026-03</v>
      </c>
      <c r="D103" s="4" t="str">
        <f>_xlfn.XLOOKUP(B103,[2]Tablero!$AP$1:$AP$6608,[2]Tablero!$AE$1:$AE$6608,"No Encontrado",0)</f>
        <v>03 - PENDIENTE</v>
      </c>
      <c r="F103" s="4" t="str">
        <f>IF(E103&lt;&gt;"",_xlfn.XLOOKUP(G103,pivot!$B$1:$B$34,pivot!$A$1:$A$34,"",0),"")</f>
        <v/>
      </c>
      <c r="G103" t="s">
        <v>54</v>
      </c>
      <c r="H103" t="s">
        <v>335</v>
      </c>
      <c r="M103" s="4">
        <f t="shared" si="1"/>
        <v>6</v>
      </c>
    </row>
    <row r="104" spans="1:13" hidden="1" x14ac:dyDescent="0.25">
      <c r="A104" t="s">
        <v>116</v>
      </c>
      <c r="B104" s="6">
        <v>1414886</v>
      </c>
      <c r="C104" s="4" t="str">
        <f>_xlfn.XLOOKUP(B104,[1]ReportePolizaPorFiltroArribas!$G$1:$G$3955,[1]ReportePolizaPorFiltroArribas!$O$1:$O$3955,"No Encontrado",0)</f>
        <v>2026-04</v>
      </c>
      <c r="D104" s="4" t="str">
        <f>_xlfn.XLOOKUP(B104,[2]Tablero!$AP$1:$AP$6608,[2]Tablero!$AE$1:$AE$6608,"No Encontrado",0)</f>
        <v>01 - RENOVADA</v>
      </c>
      <c r="F104" s="4" t="str">
        <f>IF(E104&lt;&gt;"",_xlfn.XLOOKUP(G104,pivot!$B$1:$B$34,pivot!$A$1:$A$34,"",0),"")</f>
        <v/>
      </c>
      <c r="G104" t="s">
        <v>7</v>
      </c>
      <c r="H104" t="s">
        <v>335</v>
      </c>
      <c r="M104" s="4">
        <f t="shared" si="1"/>
        <v>6</v>
      </c>
    </row>
    <row r="105" spans="1:13" hidden="1" x14ac:dyDescent="0.25">
      <c r="A105" t="s">
        <v>117</v>
      </c>
      <c r="B105" s="6">
        <v>71540</v>
      </c>
      <c r="C105" s="4" t="str">
        <f>_xlfn.XLOOKUP(B105,[1]ReportePolizaPorFiltroArribas!$G$1:$G$3955,[1]ReportePolizaPorFiltroArribas!$O$1:$O$3955,"No Encontrado",0)</f>
        <v>2026-06</v>
      </c>
      <c r="D105" s="4" t="str">
        <f>_xlfn.XLOOKUP(B105,[2]Tablero!$AP$1:$AP$6608,[2]Tablero!$AE$1:$AE$6608,"No Encontrado",0)</f>
        <v>01 - RENOVADA</v>
      </c>
      <c r="F105" s="4" t="str">
        <f>IF(E105&lt;&gt;"",_xlfn.XLOOKUP(G105,pivot!$B$1:$B$34,pivot!$A$1:$A$34,"",0),"")</f>
        <v/>
      </c>
      <c r="G105" t="s">
        <v>14</v>
      </c>
      <c r="H105" t="s">
        <v>335</v>
      </c>
      <c r="M105" s="4">
        <f t="shared" si="1"/>
        <v>6</v>
      </c>
    </row>
    <row r="106" spans="1:13" hidden="1" x14ac:dyDescent="0.25">
      <c r="A106" t="s">
        <v>410</v>
      </c>
      <c r="B106" s="6">
        <v>512687</v>
      </c>
      <c r="C106" s="4" t="str">
        <f>_xlfn.XLOOKUP(B106,[1]ReportePolizaPorFiltroArribas!$G$1:$G$3955,[1]ReportePolizaPorFiltroArribas!$O$1:$O$3955,"No Encontrado",0)</f>
        <v>2026-10</v>
      </c>
      <c r="D106" s="4" t="str">
        <f>_xlfn.XLOOKUP(B106,[2]Tablero!$AP$1:$AP$6608,[2]Tablero!$AE$1:$AE$6608,"No Encontrado",0)</f>
        <v>01 - RENOVADA</v>
      </c>
      <c r="F106" s="4" t="str">
        <f>IF(E106&lt;&gt;"",_xlfn.XLOOKUP(G106,pivot!$B$1:$B$34,pivot!$A$1:$A$34,"",0),"")</f>
        <v/>
      </c>
      <c r="G106" t="s">
        <v>15</v>
      </c>
      <c r="H106" t="s">
        <v>335</v>
      </c>
      <c r="M106" s="4">
        <f t="shared" si="1"/>
        <v>6</v>
      </c>
    </row>
    <row r="107" spans="1:13" hidden="1" x14ac:dyDescent="0.25">
      <c r="A107" t="s">
        <v>118</v>
      </c>
      <c r="B107" s="6">
        <v>1547935</v>
      </c>
      <c r="C107" s="4" t="str">
        <f>_xlfn.XLOOKUP(B107,[1]ReportePolizaPorFiltroArribas!$G$1:$G$3955,[1]ReportePolizaPorFiltroArribas!$O$1:$O$3955,"No Encontrado",0)</f>
        <v>2026-08</v>
      </c>
      <c r="D107" s="4" t="str">
        <f>_xlfn.XLOOKUP(B107,[2]Tablero!$AP$1:$AP$6608,[2]Tablero!$AE$1:$AE$6608,"No Encontrado",0)</f>
        <v>01 - RENOVADA</v>
      </c>
      <c r="F107" s="4" t="str">
        <f>IF(E107&lt;&gt;"",_xlfn.XLOOKUP(G107,pivot!$B$1:$B$34,pivot!$A$1:$A$34,"",0),"")</f>
        <v/>
      </c>
      <c r="G107" t="s">
        <v>7</v>
      </c>
      <c r="H107" t="s">
        <v>368</v>
      </c>
      <c r="M107" s="4">
        <f t="shared" si="1"/>
        <v>6</v>
      </c>
    </row>
    <row r="108" spans="1:13" hidden="1" x14ac:dyDescent="0.25">
      <c r="A108" t="s">
        <v>119</v>
      </c>
      <c r="B108" s="16">
        <v>1547936</v>
      </c>
      <c r="C108" s="4" t="str">
        <f>_xlfn.XLOOKUP(B108,[1]ReportePolizaPorFiltroArribas!$G$1:$G$3955,[1]ReportePolizaPorFiltroArribas!$O$1:$O$3955,"No Encontrado",0)</f>
        <v>2026-08</v>
      </c>
      <c r="D108" s="4" t="str">
        <f>_xlfn.XLOOKUP(B108,[2]Tablero!$AP$1:$AP$6608,[2]Tablero!$AE$1:$AE$6608,"No Encontrado",0)</f>
        <v>01 - RENOVADA</v>
      </c>
      <c r="F108" s="4" t="str">
        <f>IF(E108&lt;&gt;"",_xlfn.XLOOKUP(G108,pivot!$B$1:$B$34,pivot!$A$1:$A$34,"",0),"")</f>
        <v/>
      </c>
      <c r="G108" s="6" t="s">
        <v>7</v>
      </c>
      <c r="H108" t="s">
        <v>386</v>
      </c>
      <c r="M108" s="4">
        <f t="shared" si="1"/>
        <v>6</v>
      </c>
    </row>
    <row r="109" spans="1:13" hidden="1" x14ac:dyDescent="0.25">
      <c r="A109" t="s">
        <v>339</v>
      </c>
      <c r="B109" s="6" t="s">
        <v>340</v>
      </c>
      <c r="C109" s="4" t="str">
        <f>_xlfn.XLOOKUP(B109,[1]ReportePolizaPorFiltroArribas!$G$1:$G$3955,[1]ReportePolizaPorFiltroArribas!$O$1:$O$3955,"No Encontrado",0)</f>
        <v>2026-02</v>
      </c>
      <c r="D109" s="4" t="str">
        <f>_xlfn.XLOOKUP(B109,[2]Tablero!$AP$1:$AP$6608,[2]Tablero!$AE$1:$AE$6608,"No Encontrado",0)</f>
        <v>01 - RENOVADA</v>
      </c>
      <c r="F109" s="4" t="str">
        <f>IF(E109&lt;&gt;"",_xlfn.XLOOKUP(G109,pivot!$B$1:$B$34,pivot!$A$1:$A$34,"",0),"")</f>
        <v/>
      </c>
      <c r="G109" t="s">
        <v>4</v>
      </c>
      <c r="H109" t="s">
        <v>399</v>
      </c>
      <c r="M109" s="4">
        <f t="shared" si="1"/>
        <v>6</v>
      </c>
    </row>
    <row r="110" spans="1:13" hidden="1" x14ac:dyDescent="0.25">
      <c r="A110" t="s">
        <v>130</v>
      </c>
      <c r="B110" s="6" t="s">
        <v>131</v>
      </c>
      <c r="C110" s="4" t="str">
        <f>_xlfn.XLOOKUP(B110,[1]ReportePolizaPorFiltroArribas!$G$1:$G$3955,[1]ReportePolizaPorFiltroArribas!$O$1:$O$3955,"No Encontrado",0)</f>
        <v>2026-02</v>
      </c>
      <c r="D110" s="4" t="str">
        <f>_xlfn.XLOOKUP(B110,[2]Tablero!$AP$1:$AP$6608,[2]Tablero!$AE$1:$AE$6608,"No Encontrado",0)</f>
        <v>01 - RENOVADA</v>
      </c>
      <c r="F110" s="4" t="str">
        <f>IF(E110&lt;&gt;"",_xlfn.XLOOKUP(G110,pivot!$B$1:$B$34,pivot!$A$1:$A$34,"",0),"")</f>
        <v/>
      </c>
      <c r="G110" t="s">
        <v>4</v>
      </c>
      <c r="H110" t="s">
        <v>399</v>
      </c>
      <c r="M110" s="4">
        <f t="shared" si="1"/>
        <v>6</v>
      </c>
    </row>
    <row r="111" spans="1:13" hidden="1" x14ac:dyDescent="0.25">
      <c r="A111" t="s">
        <v>125</v>
      </c>
      <c r="B111" s="6">
        <v>1509990</v>
      </c>
      <c r="C111" s="4" t="str">
        <f>_xlfn.XLOOKUP(B111,[1]ReportePolizaPorFiltroArribas!$G$1:$G$3955,[1]ReportePolizaPorFiltroArribas!$O$1:$O$3955,"No Encontrado",0)</f>
        <v>2026-04</v>
      </c>
      <c r="D111" s="4" t="str">
        <f>_xlfn.XLOOKUP(B111,[2]Tablero!$AP$1:$AP$6608,[2]Tablero!$AE$1:$AE$6608,"No Encontrado",0)</f>
        <v>01 - RENOVADA</v>
      </c>
      <c r="F111" s="4" t="str">
        <f>IF(E111&lt;&gt;"",_xlfn.XLOOKUP(G111,pivot!$B$1:$B$34,pivot!$A$1:$A$34,"",0),"")</f>
        <v/>
      </c>
      <c r="G111" t="s">
        <v>7</v>
      </c>
      <c r="H111" t="s">
        <v>436</v>
      </c>
      <c r="M111" s="4">
        <f t="shared" si="1"/>
        <v>6</v>
      </c>
    </row>
    <row r="112" spans="1:13" hidden="1" x14ac:dyDescent="0.25">
      <c r="A112" t="s">
        <v>108</v>
      </c>
      <c r="B112" s="6">
        <v>1488856</v>
      </c>
      <c r="C112" s="4" t="str">
        <f>_xlfn.XLOOKUP(B112,[1]ReportePolizaPorFiltroArribas!$G$1:$G$3955,[1]ReportePolizaPorFiltroArribas!$O$1:$O$3955,"No Encontrado",0)</f>
        <v>2026-01</v>
      </c>
      <c r="D112" s="4" t="str">
        <f>_xlfn.XLOOKUP(B112,[2]Tablero!$AP$1:$AP$6608,[2]Tablero!$AE$1:$AE$6608,"No Encontrado",0)</f>
        <v>01 - RENOVADA</v>
      </c>
      <c r="F112" s="4" t="str">
        <f>IF(E112&lt;&gt;"",_xlfn.XLOOKUP(G112,pivot!$B$1:$B$34,pivot!$A$1:$A$34,"",0),"")</f>
        <v/>
      </c>
      <c r="G112" t="s">
        <v>7</v>
      </c>
      <c r="H112" t="s">
        <v>400</v>
      </c>
      <c r="M112" s="4">
        <f t="shared" si="1"/>
        <v>6</v>
      </c>
    </row>
    <row r="113" spans="1:13" hidden="1" x14ac:dyDescent="0.25">
      <c r="A113" t="s">
        <v>137</v>
      </c>
      <c r="B113" s="16">
        <v>1493794</v>
      </c>
      <c r="C113" s="4" t="str">
        <f>_xlfn.XLOOKUP(B113,[1]ReportePolizaPorFiltroArribas!$G$1:$G$3955,[1]ReportePolizaPorFiltroArribas!$O$1:$O$3955,"No Encontrado",0)</f>
        <v>2026-01</v>
      </c>
      <c r="D113" s="4" t="str">
        <f>_xlfn.XLOOKUP(B113,[2]Tablero!$AP$1:$AP$6608,[2]Tablero!$AE$1:$AE$6608,"No Encontrado",0)</f>
        <v>01 - RENOVADA</v>
      </c>
      <c r="F113" s="4" t="str">
        <f>IF(E113&lt;&gt;"",_xlfn.XLOOKUP(G113,pivot!$B$1:$B$34,pivot!$A$1:$A$34,"",0),"")</f>
        <v/>
      </c>
      <c r="G113" s="6" t="s">
        <v>7</v>
      </c>
      <c r="H113" t="s">
        <v>400</v>
      </c>
      <c r="M113" s="4">
        <f t="shared" si="1"/>
        <v>6</v>
      </c>
    </row>
    <row r="114" spans="1:13" hidden="1" x14ac:dyDescent="0.25">
      <c r="A114" t="s">
        <v>138</v>
      </c>
      <c r="B114" s="6">
        <v>1416594</v>
      </c>
      <c r="C114" s="4" t="str">
        <f>_xlfn.XLOOKUP(B114,[1]ReportePolizaPorFiltroArribas!$G$1:$G$3955,[1]ReportePolizaPorFiltroArribas!$O$1:$O$3955,"No Encontrado",0)</f>
        <v>2026-03</v>
      </c>
      <c r="D114" s="4" t="str">
        <f>_xlfn.XLOOKUP(B114,[2]Tablero!$AP$1:$AP$6608,[2]Tablero!$AE$1:$AE$6608,"No Encontrado",0)</f>
        <v>01 - RENOVADA</v>
      </c>
      <c r="F114" s="4" t="str">
        <f>IF(E114&lt;&gt;"",_xlfn.XLOOKUP(G114,pivot!$B$1:$B$34,pivot!$A$1:$A$34,"",0),"")</f>
        <v/>
      </c>
      <c r="G114" t="s">
        <v>7</v>
      </c>
      <c r="H114" t="s">
        <v>400</v>
      </c>
      <c r="M114" s="4">
        <f t="shared" si="1"/>
        <v>6</v>
      </c>
    </row>
    <row r="115" spans="1:13" hidden="1" x14ac:dyDescent="0.25">
      <c r="A115" t="s">
        <v>139</v>
      </c>
      <c r="B115" s="6">
        <v>1538612</v>
      </c>
      <c r="C115" s="4" t="str">
        <f>_xlfn.XLOOKUP(B115,[1]ReportePolizaPorFiltroArribas!$G$1:$G$3955,[1]ReportePolizaPorFiltroArribas!$O$1:$O$3955,"No Encontrado",0)</f>
        <v>2026-07</v>
      </c>
      <c r="D115" s="4" t="str">
        <f>_xlfn.XLOOKUP(B115,[2]Tablero!$AP$1:$AP$6608,[2]Tablero!$AE$1:$AE$6608,"No Encontrado",0)</f>
        <v>01 - RENOVADA</v>
      </c>
      <c r="F115" s="4" t="str">
        <f>IF(E115&lt;&gt;"",_xlfn.XLOOKUP(G115,pivot!$B$1:$B$34,pivot!$A$1:$A$34,"",0),"")</f>
        <v/>
      </c>
      <c r="G115" t="s">
        <v>7</v>
      </c>
      <c r="H115" t="s">
        <v>400</v>
      </c>
      <c r="M115" s="4">
        <f t="shared" si="1"/>
        <v>6</v>
      </c>
    </row>
    <row r="116" spans="1:13" hidden="1" x14ac:dyDescent="0.25">
      <c r="A116" t="s">
        <v>413</v>
      </c>
      <c r="B116" s="6">
        <v>1463498</v>
      </c>
      <c r="C116" s="4" t="str">
        <f>_xlfn.XLOOKUP(B116,[1]ReportePolizaPorFiltroArribas!$G$1:$G$3955,[1]ReportePolizaPorFiltroArribas!$O$1:$O$3955,"No Encontrado",0)</f>
        <v>2026-10</v>
      </c>
      <c r="D116" s="4" t="str">
        <f>_xlfn.XLOOKUP(B116,[2]Tablero!$AP$1:$AP$6608,[2]Tablero!$AE$1:$AE$6608,"No Encontrado",0)</f>
        <v>01 - RENOVADA</v>
      </c>
      <c r="F116" s="4" t="str">
        <f>IF(E116&lt;&gt;"",_xlfn.XLOOKUP(G116,pivot!$B$1:$B$34,pivot!$A$1:$A$34,"",0),"")</f>
        <v/>
      </c>
      <c r="G116" t="s">
        <v>7</v>
      </c>
      <c r="H116" t="s">
        <v>400</v>
      </c>
      <c r="M116" s="4">
        <f t="shared" si="1"/>
        <v>6</v>
      </c>
    </row>
    <row r="117" spans="1:13" hidden="1" x14ac:dyDescent="0.25">
      <c r="A117" t="s">
        <v>140</v>
      </c>
      <c r="B117" s="6">
        <v>1482897</v>
      </c>
      <c r="C117" s="4" t="str">
        <f>_xlfn.XLOOKUP(B117,[1]ReportePolizaPorFiltroArribas!$G$1:$G$3955,[1]ReportePolizaPorFiltroArribas!$O$1:$O$3955,"No Encontrado",0)</f>
        <v>2025-12</v>
      </c>
      <c r="D117" s="4" t="str">
        <f>_xlfn.XLOOKUP(B117,[2]Tablero!$AP$1:$AP$6608,[2]Tablero!$AE$1:$AE$6608,"No Encontrado",0)</f>
        <v>03 - PENDIENTE</v>
      </c>
      <c r="F117" s="4" t="str">
        <f>IF(E117&lt;&gt;"",_xlfn.XLOOKUP(G117,pivot!$B$1:$B$34,pivot!$A$1:$A$34,"",0),"")</f>
        <v/>
      </c>
      <c r="G117" t="s">
        <v>7</v>
      </c>
      <c r="H117" t="s">
        <v>401</v>
      </c>
      <c r="M117" s="4">
        <f t="shared" si="1"/>
        <v>6</v>
      </c>
    </row>
    <row r="118" spans="1:13" hidden="1" x14ac:dyDescent="0.25">
      <c r="A118" t="s">
        <v>141</v>
      </c>
      <c r="B118" s="6">
        <v>1491908</v>
      </c>
      <c r="C118" s="4" t="str">
        <f>_xlfn.XLOOKUP(B118,[1]ReportePolizaPorFiltroArribas!$G$1:$G$3955,[1]ReportePolizaPorFiltroArribas!$O$1:$O$3955,"No Encontrado",0)</f>
        <v>2026-02</v>
      </c>
      <c r="D118" s="4" t="str">
        <f>_xlfn.XLOOKUP(B118,[2]Tablero!$AP$1:$AP$6608,[2]Tablero!$AE$1:$AE$6608,"No Encontrado",0)</f>
        <v>01 - RENOVADA</v>
      </c>
      <c r="F118" s="4" t="str">
        <f>IF(E118&lt;&gt;"",_xlfn.XLOOKUP(G118,pivot!$B$1:$B$34,pivot!$A$1:$A$34,"",0),"")</f>
        <v/>
      </c>
      <c r="G118" t="s">
        <v>7</v>
      </c>
      <c r="H118" t="s">
        <v>401</v>
      </c>
      <c r="M118" s="4">
        <f t="shared" si="1"/>
        <v>6</v>
      </c>
    </row>
    <row r="119" spans="1:13" hidden="1" x14ac:dyDescent="0.25">
      <c r="A119" t="s">
        <v>142</v>
      </c>
      <c r="B119" s="6">
        <v>30507</v>
      </c>
      <c r="C119" s="4" t="str">
        <f>_xlfn.XLOOKUP(B119,[1]ReportePolizaPorFiltroArribas!$G$1:$G$3955,[1]ReportePolizaPorFiltroArribas!$O$1:$O$3955,"No Encontrado",0)</f>
        <v>2026-03</v>
      </c>
      <c r="D119" s="4" t="str">
        <f>_xlfn.XLOOKUP(B119,[2]Tablero!$AP$1:$AP$6608,[2]Tablero!$AE$1:$AE$6608,"No Encontrado",0)</f>
        <v>01 - RENOVADA</v>
      </c>
      <c r="F119" s="4" t="str">
        <f>IF(E119&lt;&gt;"",_xlfn.XLOOKUP(G119,pivot!$B$1:$B$34,pivot!$A$1:$A$34,"",0),"")</f>
        <v/>
      </c>
      <c r="G119" t="s">
        <v>38</v>
      </c>
      <c r="H119" t="s">
        <v>401</v>
      </c>
      <c r="M119" s="4">
        <f t="shared" si="1"/>
        <v>6</v>
      </c>
    </row>
    <row r="120" spans="1:13" hidden="1" x14ac:dyDescent="0.25">
      <c r="A120" t="s">
        <v>152</v>
      </c>
      <c r="B120" s="6">
        <v>35522</v>
      </c>
      <c r="C120" s="4" t="str">
        <f>_xlfn.XLOOKUP(B120,[1]ReportePolizaPorFiltroArribas!$G$1:$G$3955,[1]ReportePolizaPorFiltroArribas!$O$1:$O$3955,"No Encontrado",0)</f>
        <v>2026-05</v>
      </c>
      <c r="D120" s="4" t="str">
        <f>_xlfn.XLOOKUP(B120,[2]Tablero!$AP$1:$AP$6608,[2]Tablero!$AE$1:$AE$6608,"No Encontrado",0)</f>
        <v>01 - RENOVADA</v>
      </c>
      <c r="F120" s="4" t="str">
        <f>IF(E120&lt;&gt;"",_xlfn.XLOOKUP(G120,pivot!$B$1:$B$34,pivot!$A$1:$A$34,"",0),"")</f>
        <v/>
      </c>
      <c r="G120" t="s">
        <v>8</v>
      </c>
      <c r="H120" t="s">
        <v>401</v>
      </c>
      <c r="M120" s="4">
        <f t="shared" si="1"/>
        <v>6</v>
      </c>
    </row>
    <row r="121" spans="1:13" hidden="1" x14ac:dyDescent="0.25">
      <c r="A121" t="s">
        <v>143</v>
      </c>
      <c r="B121" s="6">
        <v>1536831</v>
      </c>
      <c r="C121" s="4" t="str">
        <f>_xlfn.XLOOKUP(B121,[1]ReportePolizaPorFiltroArribas!$G$1:$G$3955,[1]ReportePolizaPorFiltroArribas!$O$1:$O$3955,"No Encontrado",0)</f>
        <v>2026-06</v>
      </c>
      <c r="D121" s="4" t="str">
        <f>_xlfn.XLOOKUP(B121,[2]Tablero!$AP$1:$AP$6608,[2]Tablero!$AE$1:$AE$6608,"No Encontrado",0)</f>
        <v>01 - RENOVADA</v>
      </c>
      <c r="F121" s="4" t="str">
        <f>IF(E121&lt;&gt;"",_xlfn.XLOOKUP(G121,pivot!$B$1:$B$34,pivot!$A$1:$A$34,"",0),"")</f>
        <v/>
      </c>
      <c r="G121" t="s">
        <v>7</v>
      </c>
      <c r="H121" t="s">
        <v>401</v>
      </c>
      <c r="M121" s="4">
        <f t="shared" si="1"/>
        <v>6</v>
      </c>
    </row>
    <row r="122" spans="1:13" hidden="1" x14ac:dyDescent="0.25">
      <c r="A122" t="s">
        <v>144</v>
      </c>
      <c r="B122" s="6">
        <v>1484358</v>
      </c>
      <c r="C122" s="4" t="str">
        <f>_xlfn.XLOOKUP(B122,[1]ReportePolizaPorFiltroArribas!$G$1:$G$3955,[1]ReportePolizaPorFiltroArribas!$O$1:$O$3955,"No Encontrado",0)</f>
        <v>2025-12</v>
      </c>
      <c r="D122" s="4" t="str">
        <f>_xlfn.XLOOKUP(B122,[2]Tablero!$AP$1:$AP$6608,[2]Tablero!$AE$1:$AE$6608,"No Encontrado",0)</f>
        <v>03 - PENDIENTE</v>
      </c>
      <c r="F122" s="4" t="str">
        <f>IF(E122&lt;&gt;"",_xlfn.XLOOKUP(G122,pivot!$B$1:$B$34,pivot!$A$1:$A$34,"",0),"")</f>
        <v/>
      </c>
      <c r="G122" t="s">
        <v>7</v>
      </c>
      <c r="H122" t="s">
        <v>369</v>
      </c>
      <c r="M122" s="4">
        <f t="shared" si="1"/>
        <v>6</v>
      </c>
    </row>
    <row r="123" spans="1:13" hidden="1" x14ac:dyDescent="0.25">
      <c r="A123" t="s">
        <v>145</v>
      </c>
      <c r="B123" s="6">
        <v>1511273</v>
      </c>
      <c r="C123" s="4" t="str">
        <f>_xlfn.XLOOKUP(B123,[1]ReportePolizaPorFiltroArribas!$G$1:$G$3955,[1]ReportePolizaPorFiltroArribas!$O$1:$O$3955,"No Encontrado",0)</f>
        <v>2026-04</v>
      </c>
      <c r="D123" s="4" t="str">
        <f>_xlfn.XLOOKUP(B123,[2]Tablero!$AP$1:$AP$6608,[2]Tablero!$AE$1:$AE$6608,"No Encontrado",0)</f>
        <v>01 - RENOVADA</v>
      </c>
      <c r="F123" s="4" t="str">
        <f>IF(E123&lt;&gt;"",_xlfn.XLOOKUP(G123,pivot!$B$1:$B$34,pivot!$A$1:$A$34,"",0),"")</f>
        <v/>
      </c>
      <c r="G123" s="6" t="s">
        <v>7</v>
      </c>
      <c r="H123" t="s">
        <v>369</v>
      </c>
      <c r="M123" s="4">
        <f t="shared" si="1"/>
        <v>6</v>
      </c>
    </row>
    <row r="124" spans="1:13" hidden="1" x14ac:dyDescent="0.25">
      <c r="A124" t="s">
        <v>146</v>
      </c>
      <c r="B124" s="6">
        <v>84117</v>
      </c>
      <c r="C124" s="4" t="str">
        <f>_xlfn.XLOOKUP(B124,[1]ReportePolizaPorFiltroArribas!$G$1:$G$3955,[1]ReportePolizaPorFiltroArribas!$O$1:$O$3955,"No Encontrado",0)</f>
        <v>2026-06</v>
      </c>
      <c r="D124" s="4" t="str">
        <f>_xlfn.XLOOKUP(B124,[2]Tablero!$AP$1:$AP$6608,[2]Tablero!$AE$1:$AE$6608,"No Encontrado",0)</f>
        <v>01 - RENOVADA</v>
      </c>
      <c r="F124" s="4" t="str">
        <f>IF(E124&lt;&gt;"",_xlfn.XLOOKUP(G124,pivot!$B$1:$B$34,pivot!$A$1:$A$34,"",0),"")</f>
        <v/>
      </c>
      <c r="G124" t="s">
        <v>14</v>
      </c>
      <c r="H124" t="s">
        <v>369</v>
      </c>
      <c r="M124" s="4">
        <f t="shared" si="1"/>
        <v>6</v>
      </c>
    </row>
    <row r="125" spans="1:13" hidden="1" x14ac:dyDescent="0.25">
      <c r="A125" t="s">
        <v>147</v>
      </c>
      <c r="B125" s="6">
        <v>69976</v>
      </c>
      <c r="C125" s="4" t="str">
        <f>_xlfn.XLOOKUP(B125,[1]ReportePolizaPorFiltroArribas!$G$1:$G$3955,[1]ReportePolizaPorFiltroArribas!$O$1:$O$3955,"No Encontrado",0)</f>
        <v>2026-06</v>
      </c>
      <c r="D125" s="4" t="str">
        <f>_xlfn.XLOOKUP(B125,[2]Tablero!$AP$1:$AP$6608,[2]Tablero!$AE$1:$AE$6608,"No Encontrado",0)</f>
        <v>01 - RENOVADA</v>
      </c>
      <c r="F125" s="4" t="str">
        <f>IF(E125&lt;&gt;"",_xlfn.XLOOKUP(G125,pivot!$B$1:$B$34,pivot!$A$1:$A$34,"",0),"")</f>
        <v/>
      </c>
      <c r="G125" t="s">
        <v>8</v>
      </c>
      <c r="H125" t="s">
        <v>369</v>
      </c>
      <c r="M125" s="4">
        <f t="shared" si="1"/>
        <v>6</v>
      </c>
    </row>
    <row r="126" spans="1:13" hidden="1" x14ac:dyDescent="0.25">
      <c r="A126" t="s">
        <v>159</v>
      </c>
      <c r="B126" s="6">
        <v>501082</v>
      </c>
      <c r="C126" s="4" t="str">
        <f>_xlfn.XLOOKUP(B126,[1]ReportePolizaPorFiltroArribas!$G$1:$G$3955,[1]ReportePolizaPorFiltroArribas!$O$1:$O$3955,"No Encontrado",0)</f>
        <v>2033-07</v>
      </c>
      <c r="D126" s="4" t="str">
        <f>_xlfn.XLOOKUP(B126,[2]Tablero!$AP$1:$AP$6608,[2]Tablero!$AE$1:$AE$6608,"No Encontrado",0)</f>
        <v>03 - PENDIENTE</v>
      </c>
      <c r="F126" s="4" t="str">
        <f>IF(E126&lt;&gt;"",_xlfn.XLOOKUP(G126,pivot!$B$1:$B$34,pivot!$A$1:$A$34,"",0),"")</f>
        <v/>
      </c>
      <c r="G126" t="s">
        <v>50</v>
      </c>
      <c r="H126" t="s">
        <v>369</v>
      </c>
      <c r="M126" s="4">
        <f t="shared" si="1"/>
        <v>6</v>
      </c>
    </row>
    <row r="127" spans="1:13" hidden="1" x14ac:dyDescent="0.25">
      <c r="A127" t="s">
        <v>148</v>
      </c>
      <c r="B127" s="6">
        <v>520443</v>
      </c>
      <c r="C127" s="4" t="str">
        <f>_xlfn.XLOOKUP(B127,[1]ReportePolizaPorFiltroArribas!$G$1:$G$3955,[1]ReportePolizaPorFiltroArribas!$O$1:$O$3955,"No Encontrado",0)</f>
        <v>2026-07</v>
      </c>
      <c r="D127" s="4" t="str">
        <f>_xlfn.XLOOKUP(B127,[2]Tablero!$AP$1:$AP$6608,[2]Tablero!$AE$1:$AE$6608,"No Encontrado",0)</f>
        <v>01 - RENOVADA</v>
      </c>
      <c r="F127" s="4" t="str">
        <f>IF(E127&lt;&gt;"",_xlfn.XLOOKUP(G127,pivot!$B$1:$B$34,pivot!$A$1:$A$34,"",0),"")</f>
        <v/>
      </c>
      <c r="G127" t="s">
        <v>15</v>
      </c>
      <c r="H127" t="s">
        <v>369</v>
      </c>
      <c r="M127" s="4">
        <f t="shared" si="1"/>
        <v>6</v>
      </c>
    </row>
    <row r="128" spans="1:13" hidden="1" x14ac:dyDescent="0.25">
      <c r="A128" t="s">
        <v>414</v>
      </c>
      <c r="B128" s="6">
        <v>1573433</v>
      </c>
      <c r="C128" s="4" t="str">
        <f>_xlfn.XLOOKUP(B128,[1]ReportePolizaPorFiltroArribas!$G$1:$G$3955,[1]ReportePolizaPorFiltroArribas!$O$1:$O$3955,"No Encontrado",0)</f>
        <v>2026-09</v>
      </c>
      <c r="D128" s="4" t="str">
        <f>_xlfn.XLOOKUP(B128,[2]Tablero!$AP$1:$AP$6608,[2]Tablero!$AE$1:$AE$6608,"No Encontrado",0)</f>
        <v>No Encontrado</v>
      </c>
      <c r="F128" s="4" t="str">
        <f>IF(E128&lt;&gt;"",_xlfn.XLOOKUP(G128,pivot!$B$1:$B$34,pivot!$A$1:$A$34,"",0),"")</f>
        <v/>
      </c>
      <c r="G128" t="s">
        <v>7</v>
      </c>
      <c r="H128" t="s">
        <v>369</v>
      </c>
      <c r="M128" s="4">
        <f t="shared" si="1"/>
        <v>6</v>
      </c>
    </row>
    <row r="129" spans="1:13" hidden="1" x14ac:dyDescent="0.25">
      <c r="A129" t="s">
        <v>115</v>
      </c>
      <c r="B129" s="6">
        <v>54608</v>
      </c>
      <c r="C129" s="4" t="str">
        <f>_xlfn.XLOOKUP(B129,[1]ReportePolizaPorFiltroArribas!$G$1:$G$3955,[1]ReportePolizaPorFiltroArribas!$O$1:$O$3955,"No Encontrado",0)</f>
        <v>2026-09</v>
      </c>
      <c r="D129" s="4" t="str">
        <f>_xlfn.XLOOKUP(B129,[2]Tablero!$AP$1:$AP$6608,[2]Tablero!$AE$1:$AE$6608,"No Encontrado",0)</f>
        <v>No Encontrado</v>
      </c>
      <c r="F129" s="4" t="str">
        <f>IF(E129&lt;&gt;"",_xlfn.XLOOKUP(G129,pivot!$B$1:$B$34,pivot!$A$1:$A$34,"",0),"")</f>
        <v/>
      </c>
      <c r="G129" t="s">
        <v>9</v>
      </c>
      <c r="H129" t="s">
        <v>369</v>
      </c>
      <c r="M129" s="4">
        <f t="shared" si="1"/>
        <v>6</v>
      </c>
    </row>
    <row r="130" spans="1:13" hidden="1" x14ac:dyDescent="0.25">
      <c r="A130" t="s">
        <v>415</v>
      </c>
      <c r="B130" s="6">
        <v>1300633219</v>
      </c>
      <c r="C130" s="4" t="str">
        <f>_xlfn.XLOOKUP(B130,[1]ReportePolizaPorFiltroArribas!$G$1:$G$3955,[1]ReportePolizaPorFiltroArribas!$O$1:$O$3955,"No Encontrado",0)</f>
        <v>2026-08</v>
      </c>
      <c r="D130" s="4" t="str">
        <f>_xlfn.XLOOKUP(B130,[2]Tablero!$AP$1:$AP$6608,[2]Tablero!$AE$1:$AE$6608,"No Encontrado",0)</f>
        <v>03 - PENDIENTE</v>
      </c>
      <c r="F130" s="4" t="str">
        <f>IF(E130&lt;&gt;"",_xlfn.XLOOKUP(G130,pivot!$B$1:$B$34,pivot!$A$1:$A$34,"",0),"")</f>
        <v/>
      </c>
      <c r="G130" t="s">
        <v>54</v>
      </c>
      <c r="H130" t="s">
        <v>369</v>
      </c>
      <c r="M130" s="4">
        <f t="shared" si="1"/>
        <v>6</v>
      </c>
    </row>
    <row r="131" spans="1:13" hidden="1" x14ac:dyDescent="0.25">
      <c r="A131" t="s">
        <v>149</v>
      </c>
      <c r="B131" s="6">
        <v>1438544</v>
      </c>
      <c r="C131" s="4" t="str">
        <f>_xlfn.XLOOKUP(B131,[1]ReportePolizaPorFiltroArribas!$G$1:$G$3955,[1]ReportePolizaPorFiltroArribas!$O$1:$O$3955,"No Encontrado",0)</f>
        <v>2026-06</v>
      </c>
      <c r="D131" s="4" t="str">
        <f>_xlfn.XLOOKUP(B131,[2]Tablero!$AP$1:$AP$6608,[2]Tablero!$AE$1:$AE$6608,"No Encontrado",0)</f>
        <v>01 - RENOVADA</v>
      </c>
      <c r="F131" s="4" t="str">
        <f>IF(E131&lt;&gt;"",_xlfn.XLOOKUP(G131,pivot!$B$1:$B$34,pivot!$A$1:$A$34,"",0),"")</f>
        <v/>
      </c>
      <c r="G131" t="s">
        <v>7</v>
      </c>
      <c r="H131" t="s">
        <v>370</v>
      </c>
      <c r="M131" s="4">
        <f t="shared" ref="M131:M194" si="2">IF(C131&lt;=TEXT(H131,"YYYY-MM"),2,6)</f>
        <v>6</v>
      </c>
    </row>
    <row r="132" spans="1:13" hidden="1" x14ac:dyDescent="0.25">
      <c r="A132" t="s">
        <v>150</v>
      </c>
      <c r="B132" s="6">
        <v>1547931</v>
      </c>
      <c r="C132" s="4" t="str">
        <f>_xlfn.XLOOKUP(B132,[1]ReportePolizaPorFiltroArribas!$G$1:$G$3955,[1]ReportePolizaPorFiltroArribas!$O$1:$O$3955,"No Encontrado",0)</f>
        <v>2026-08</v>
      </c>
      <c r="D132" s="4" t="str">
        <f>_xlfn.XLOOKUP(B132,[2]Tablero!$AP$1:$AP$6608,[2]Tablero!$AE$1:$AE$6608,"No Encontrado",0)</f>
        <v>01 - RENOVADA</v>
      </c>
      <c r="F132" s="4" t="str">
        <f>IF(E132&lt;&gt;"",_xlfn.XLOOKUP(G132,pivot!$B$1:$B$34,pivot!$A$1:$A$34,"",0),"")</f>
        <v/>
      </c>
      <c r="G132" t="s">
        <v>7</v>
      </c>
      <c r="H132" t="s">
        <v>370</v>
      </c>
      <c r="M132" s="4">
        <f t="shared" si="2"/>
        <v>6</v>
      </c>
    </row>
    <row r="133" spans="1:13" hidden="1" x14ac:dyDescent="0.25">
      <c r="A133" t="s">
        <v>416</v>
      </c>
      <c r="B133" s="6">
        <v>1573365</v>
      </c>
      <c r="C133" s="4" t="str">
        <f>_xlfn.XLOOKUP(B133,[1]ReportePolizaPorFiltroArribas!$G$1:$G$3955,[1]ReportePolizaPorFiltroArribas!$O$1:$O$3955,"No Encontrado",0)</f>
        <v>2026-10</v>
      </c>
      <c r="D133" s="4" t="str">
        <f>_xlfn.XLOOKUP(B133,[2]Tablero!$AP$1:$AP$6608,[2]Tablero!$AE$1:$AE$6608,"No Encontrado",0)</f>
        <v>01 - RENOVADA</v>
      </c>
      <c r="F133" s="4" t="str">
        <f>IF(E133&lt;&gt;"",_xlfn.XLOOKUP(G133,pivot!$B$1:$B$34,pivot!$A$1:$A$34,"",0),"")</f>
        <v/>
      </c>
      <c r="G133" t="s">
        <v>7</v>
      </c>
      <c r="H133" t="s">
        <v>370</v>
      </c>
      <c r="M133" s="4">
        <f t="shared" si="2"/>
        <v>6</v>
      </c>
    </row>
    <row r="134" spans="1:13" hidden="1" x14ac:dyDescent="0.25">
      <c r="A134" t="s">
        <v>358</v>
      </c>
      <c r="B134" s="6">
        <v>1571216</v>
      </c>
      <c r="C134" s="4" t="str">
        <f>_xlfn.XLOOKUP(B134,[1]ReportePolizaPorFiltroArribas!$G$1:$G$3955,[1]ReportePolizaPorFiltroArribas!$O$1:$O$3955,"No Encontrado",0)</f>
        <v>2026-09</v>
      </c>
      <c r="D134" s="4" t="str">
        <f>_xlfn.XLOOKUP(B134,[2]Tablero!$AP$1:$AP$6608,[2]Tablero!$AE$1:$AE$6608,"No Encontrado",0)</f>
        <v>01 - RENOVADA</v>
      </c>
      <c r="F134" s="4" t="str">
        <f>IF(E134&lt;&gt;"",_xlfn.XLOOKUP(G134,pivot!$B$1:$B$34,pivot!$A$1:$A$34,"",0),"")</f>
        <v/>
      </c>
      <c r="G134" t="s">
        <v>7</v>
      </c>
      <c r="H134" t="s">
        <v>370</v>
      </c>
      <c r="M134" s="4">
        <f t="shared" si="2"/>
        <v>6</v>
      </c>
    </row>
    <row r="135" spans="1:13" hidden="1" x14ac:dyDescent="0.25">
      <c r="A135" t="s">
        <v>151</v>
      </c>
      <c r="B135" s="6">
        <v>95958</v>
      </c>
      <c r="C135" s="4" t="str">
        <f>_xlfn.XLOOKUP(B135,[1]ReportePolizaPorFiltroArribas!$G$1:$G$3955,[1]ReportePolizaPorFiltroArribas!$O$1:$O$3955,"No Encontrado",0)</f>
        <v>2026-04</v>
      </c>
      <c r="D135" s="4" t="str">
        <f>_xlfn.XLOOKUP(B135,[2]Tablero!$AP$1:$AP$6608,[2]Tablero!$AE$1:$AE$6608,"No Encontrado",0)</f>
        <v>01 - RENOVADA</v>
      </c>
      <c r="F135" s="4" t="str">
        <f>IF(E135&lt;&gt;"",_xlfn.XLOOKUP(G135,pivot!$B$1:$B$34,pivot!$A$1:$A$34,"",0),"")</f>
        <v/>
      </c>
      <c r="G135" t="s">
        <v>14</v>
      </c>
      <c r="H135" t="s">
        <v>370</v>
      </c>
      <c r="M135" s="4">
        <f t="shared" si="2"/>
        <v>6</v>
      </c>
    </row>
    <row r="136" spans="1:13" hidden="1" x14ac:dyDescent="0.25">
      <c r="A136" t="s">
        <v>153</v>
      </c>
      <c r="B136" s="6">
        <v>1512809</v>
      </c>
      <c r="C136" s="4" t="str">
        <f>_xlfn.XLOOKUP(B136,[1]ReportePolizaPorFiltroArribas!$G$1:$G$3955,[1]ReportePolizaPorFiltroArribas!$O$1:$O$3955,"No Encontrado",0)</f>
        <v>2026-03</v>
      </c>
      <c r="D136" s="4" t="str">
        <f>_xlfn.XLOOKUP(B136,[2]Tablero!$AP$1:$AP$6608,[2]Tablero!$AE$1:$AE$6608,"No Encontrado",0)</f>
        <v>01 - RENOVADA</v>
      </c>
      <c r="F136" s="4" t="str">
        <f>IF(E136&lt;&gt;"",_xlfn.XLOOKUP(G136,pivot!$B$1:$B$34,pivot!$A$1:$A$34,"",0),"")</f>
        <v/>
      </c>
      <c r="G136" t="s">
        <v>7</v>
      </c>
      <c r="H136" t="s">
        <v>370</v>
      </c>
      <c r="M136" s="4">
        <f t="shared" si="2"/>
        <v>6</v>
      </c>
    </row>
    <row r="137" spans="1:13" hidden="1" x14ac:dyDescent="0.25">
      <c r="A137" t="s">
        <v>157</v>
      </c>
      <c r="B137" s="16">
        <v>1417349</v>
      </c>
      <c r="C137" s="4" t="str">
        <f>_xlfn.XLOOKUP(B137,[1]ReportePolizaPorFiltroArribas!$G$1:$G$3955,[1]ReportePolizaPorFiltroArribas!$O$1:$O$3955,"No Encontrado",0)</f>
        <v>2026-03</v>
      </c>
      <c r="D137" s="4" t="str">
        <f>_xlfn.XLOOKUP(B137,[2]Tablero!$AP$1:$AP$6608,[2]Tablero!$AE$1:$AE$6608,"No Encontrado",0)</f>
        <v>01 - RENOVADA</v>
      </c>
      <c r="F137" s="4" t="str">
        <f>IF(E137&lt;&gt;"",_xlfn.XLOOKUP(G137,pivot!$B$1:$B$34,pivot!$A$1:$A$34,"",0),"")</f>
        <v/>
      </c>
      <c r="G137" s="6" t="s">
        <v>7</v>
      </c>
      <c r="H137" t="s">
        <v>437</v>
      </c>
      <c r="M137" s="4">
        <f t="shared" si="2"/>
        <v>6</v>
      </c>
    </row>
    <row r="138" spans="1:13" hidden="1" x14ac:dyDescent="0.25">
      <c r="A138" t="s">
        <v>160</v>
      </c>
      <c r="B138" s="16">
        <v>709789</v>
      </c>
      <c r="C138" s="4" t="str">
        <f>_xlfn.XLOOKUP(B138,[1]ReportePolizaPorFiltroArribas!$G$1:$G$3955,[1]ReportePolizaPorFiltroArribas!$O$1:$O$3955,"No Encontrado",0)</f>
        <v>2026-08</v>
      </c>
      <c r="D138" s="4" t="str">
        <f>_xlfn.XLOOKUP(B138,[2]Tablero!$AP$1:$AP$6608,[2]Tablero!$AE$1:$AE$6608,"No Encontrado",0)</f>
        <v>01 - RENOVADA</v>
      </c>
      <c r="E138" s="9"/>
      <c r="F138" s="4" t="str">
        <f>IF(E138&lt;&gt;"",_xlfn.XLOOKUP(G138,pivot!$B$1:$B$34,pivot!$A$1:$A$34,"",0),"")</f>
        <v/>
      </c>
      <c r="G138" s="6" t="s">
        <v>7</v>
      </c>
      <c r="H138" t="s">
        <v>437</v>
      </c>
      <c r="M138" s="4">
        <f t="shared" si="2"/>
        <v>6</v>
      </c>
    </row>
    <row r="139" spans="1:13" hidden="1" x14ac:dyDescent="0.25">
      <c r="A139" t="s">
        <v>154</v>
      </c>
      <c r="B139" s="16">
        <v>73670</v>
      </c>
      <c r="C139" s="4" t="str">
        <f>_xlfn.XLOOKUP(B139,[1]ReportePolizaPorFiltroArribas!$G$1:$G$3955,[1]ReportePolizaPorFiltroArribas!$O$1:$O$3955,"No Encontrado",0)</f>
        <v>2026-09</v>
      </c>
      <c r="D139" s="4" t="str">
        <f>_xlfn.XLOOKUP(B139,[2]Tablero!$AP$1:$AP$6608,[2]Tablero!$AE$1:$AE$6608,"No Encontrado",0)</f>
        <v>01 - RENOVADA</v>
      </c>
      <c r="F139" s="4" t="str">
        <f>IF(E139&lt;&gt;"",_xlfn.XLOOKUP(G139,pivot!$B$1:$B$34,pivot!$A$1:$A$34,"",0),"")</f>
        <v/>
      </c>
      <c r="G139" s="6" t="s">
        <v>14</v>
      </c>
      <c r="H139" t="s">
        <v>437</v>
      </c>
      <c r="M139" s="4">
        <f t="shared" si="2"/>
        <v>6</v>
      </c>
    </row>
    <row r="140" spans="1:13" hidden="1" x14ac:dyDescent="0.25">
      <c r="A140" t="s">
        <v>176</v>
      </c>
      <c r="B140" s="6">
        <v>37291</v>
      </c>
      <c r="C140" s="4" t="str">
        <f>_xlfn.XLOOKUP(B140,[1]ReportePolizaPorFiltroArribas!$G$1:$G$3955,[1]ReportePolizaPorFiltroArribas!$O$1:$O$3955,"No Encontrado",0)</f>
        <v>2026-10</v>
      </c>
      <c r="D140" s="4" t="str">
        <f>_xlfn.XLOOKUP(B140,[2]Tablero!$AP$1:$AP$6608,[2]Tablero!$AE$1:$AE$6608,"No Encontrado",0)</f>
        <v>01 - RENOVADA</v>
      </c>
      <c r="F140" s="4" t="str">
        <f>IF(E140&lt;&gt;"",_xlfn.XLOOKUP(G140,pivot!$B$1:$B$34,pivot!$A$1:$A$34,"",0),"")</f>
        <v/>
      </c>
      <c r="G140" t="s">
        <v>8</v>
      </c>
      <c r="H140" t="s">
        <v>437</v>
      </c>
      <c r="M140" s="4">
        <f t="shared" si="2"/>
        <v>6</v>
      </c>
    </row>
    <row r="141" spans="1:13" hidden="1" x14ac:dyDescent="0.25">
      <c r="A141" t="s">
        <v>155</v>
      </c>
      <c r="B141" s="6">
        <v>1573356</v>
      </c>
      <c r="C141" s="4" t="str">
        <f>_xlfn.XLOOKUP(B141,[1]ReportePolizaPorFiltroArribas!$G$1:$G$3955,[1]ReportePolizaPorFiltroArribas!$O$1:$O$3955,"No Encontrado",0)</f>
        <v>2026-10</v>
      </c>
      <c r="D141" s="4" t="str">
        <f>_xlfn.XLOOKUP(B141,[2]Tablero!$AP$1:$AP$6608,[2]Tablero!$AE$1:$AE$6608,"No Encontrado",0)</f>
        <v>01 - RENOVADA</v>
      </c>
      <c r="F141" s="4" t="str">
        <f>IF(E141&lt;&gt;"",_xlfn.XLOOKUP(G141,pivot!$B$1:$B$34,pivot!$A$1:$A$34,"",0),"")</f>
        <v/>
      </c>
      <c r="G141" t="s">
        <v>7</v>
      </c>
      <c r="H141" t="s">
        <v>437</v>
      </c>
      <c r="M141" s="4">
        <f t="shared" si="2"/>
        <v>6</v>
      </c>
    </row>
    <row r="142" spans="1:13" hidden="1" x14ac:dyDescent="0.25">
      <c r="A142" t="s">
        <v>161</v>
      </c>
      <c r="B142" s="6">
        <v>1547963</v>
      </c>
      <c r="C142" s="4" t="str">
        <f>_xlfn.XLOOKUP(B142,[1]ReportePolizaPorFiltroArribas!$G$1:$G$3955,[1]ReportePolizaPorFiltroArribas!$O$1:$O$3955,"No Encontrado",0)</f>
        <v>2026-08</v>
      </c>
      <c r="D142" s="4" t="str">
        <f>_xlfn.XLOOKUP(B142,[2]Tablero!$AP$1:$AP$6608,[2]Tablero!$AE$1:$AE$6608,"No Encontrado",0)</f>
        <v>01 - RENOVADA</v>
      </c>
      <c r="F142" s="4" t="str">
        <f>IF(E142&lt;&gt;"",_xlfn.XLOOKUP(G142,pivot!$B$1:$B$34,pivot!$A$1:$A$34,"",0),"")</f>
        <v/>
      </c>
      <c r="G142" t="s">
        <v>7</v>
      </c>
      <c r="H142" t="s">
        <v>437</v>
      </c>
      <c r="M142" s="4">
        <f t="shared" si="2"/>
        <v>6</v>
      </c>
    </row>
    <row r="143" spans="1:13" hidden="1" x14ac:dyDescent="0.25">
      <c r="A143" t="s">
        <v>162</v>
      </c>
      <c r="B143" s="6">
        <v>1256331</v>
      </c>
      <c r="C143" s="4" t="str">
        <f>_xlfn.XLOOKUP(B143,[1]ReportePolizaPorFiltroArribas!$G$1:$G$3955,[1]ReportePolizaPorFiltroArribas!$O$1:$O$3955,"No Encontrado",0)</f>
        <v>2026-05</v>
      </c>
      <c r="D143" s="4" t="str">
        <f>_xlfn.XLOOKUP(B143,[2]Tablero!$AP$1:$AP$6608,[2]Tablero!$AE$1:$AE$6608,"No Encontrado",0)</f>
        <v>01 - RENOVADA</v>
      </c>
      <c r="F143" s="4" t="str">
        <f>IF(E143&lt;&gt;"",_xlfn.XLOOKUP(G143,pivot!$B$1:$B$34,pivot!$A$1:$A$34,"",0),"")</f>
        <v/>
      </c>
      <c r="G143" s="6" t="s">
        <v>7</v>
      </c>
      <c r="H143" t="s">
        <v>348</v>
      </c>
      <c r="M143" s="4">
        <f t="shared" si="2"/>
        <v>6</v>
      </c>
    </row>
    <row r="144" spans="1:13" hidden="1" x14ac:dyDescent="0.25">
      <c r="A144" t="s">
        <v>297</v>
      </c>
      <c r="B144" s="6">
        <v>1447004</v>
      </c>
      <c r="C144" s="4" t="str">
        <f>_xlfn.XLOOKUP(B144,[1]ReportePolizaPorFiltroArribas!$G$1:$G$3955,[1]ReportePolizaPorFiltroArribas!$O$1:$O$3955,"No Encontrado",0)</f>
        <v>2026-07</v>
      </c>
      <c r="D144" s="4" t="str">
        <f>_xlfn.XLOOKUP(B144,[2]Tablero!$AP$1:$AP$6608,[2]Tablero!$AE$1:$AE$6608,"No Encontrado",0)</f>
        <v>01 - RENOVADA</v>
      </c>
      <c r="F144" s="4" t="str">
        <f>IF(E144&lt;&gt;"",_xlfn.XLOOKUP(G144,pivot!$B$1:$B$34,pivot!$A$1:$A$34,"",0),"")</f>
        <v/>
      </c>
      <c r="G144" t="s">
        <v>7</v>
      </c>
      <c r="H144" t="s">
        <v>348</v>
      </c>
      <c r="M144" s="4">
        <f t="shared" si="2"/>
        <v>6</v>
      </c>
    </row>
    <row r="145" spans="1:13" hidden="1" x14ac:dyDescent="0.25">
      <c r="A145" t="s">
        <v>163</v>
      </c>
      <c r="B145" s="6">
        <v>1547952</v>
      </c>
      <c r="C145" s="4" t="str">
        <f>_xlfn.XLOOKUP(B145,[1]ReportePolizaPorFiltroArribas!$G$1:$G$3955,[1]ReportePolizaPorFiltroArribas!$O$1:$O$3955,"No Encontrado",0)</f>
        <v>2026-08</v>
      </c>
      <c r="D145" s="4" t="str">
        <f>_xlfn.XLOOKUP(B145,[2]Tablero!$AP$1:$AP$6608,[2]Tablero!$AE$1:$AE$6608,"No Encontrado",0)</f>
        <v>01 - RENOVADA</v>
      </c>
      <c r="F145" s="4" t="str">
        <f>IF(E145&lt;&gt;"",_xlfn.XLOOKUP(G145,pivot!$B$1:$B$34,pivot!$A$1:$A$34,"",0),"")</f>
        <v/>
      </c>
      <c r="G145" t="s">
        <v>7</v>
      </c>
      <c r="H145" t="s">
        <v>348</v>
      </c>
      <c r="M145" s="4">
        <f t="shared" si="2"/>
        <v>6</v>
      </c>
    </row>
    <row r="146" spans="1:13" hidden="1" x14ac:dyDescent="0.25">
      <c r="A146" t="s">
        <v>337</v>
      </c>
      <c r="B146" s="6">
        <v>75617</v>
      </c>
      <c r="C146" s="4" t="str">
        <f>_xlfn.XLOOKUP(B146,[1]ReportePolizaPorFiltroArribas!$G$1:$G$3955,[1]ReportePolizaPorFiltroArribas!$O$1:$O$3955,"No Encontrado",0)</f>
        <v>2026-08</v>
      </c>
      <c r="D146" s="4" t="str">
        <f>_xlfn.XLOOKUP(B146,[2]Tablero!$AP$1:$AP$6608,[2]Tablero!$AE$1:$AE$6608,"No Encontrado",0)</f>
        <v>01 - RENOVADA</v>
      </c>
      <c r="F146" s="4" t="str">
        <f>IF(E146&lt;&gt;"",_xlfn.XLOOKUP(G146,pivot!$B$1:$B$34,pivot!$A$1:$A$34,"",0),"")</f>
        <v/>
      </c>
      <c r="G146" t="s">
        <v>8</v>
      </c>
      <c r="H146" t="s">
        <v>348</v>
      </c>
      <c r="M146" s="4">
        <f t="shared" si="2"/>
        <v>6</v>
      </c>
    </row>
    <row r="147" spans="1:13" hidden="1" x14ac:dyDescent="0.25">
      <c r="A147" t="s">
        <v>359</v>
      </c>
      <c r="B147" s="6">
        <v>1563861</v>
      </c>
      <c r="C147" s="4" t="str">
        <f>_xlfn.XLOOKUP(B147,[1]ReportePolizaPorFiltroArribas!$G$1:$G$3955,[1]ReportePolizaPorFiltroArribas!$O$1:$O$3955,"No Encontrado",0)</f>
        <v>2026-09</v>
      </c>
      <c r="D147" s="4" t="str">
        <f>_xlfn.XLOOKUP(B147,[2]Tablero!$AP$1:$AP$6608,[2]Tablero!$AE$1:$AE$6608,"No Encontrado",0)</f>
        <v>01 - RENOVADA</v>
      </c>
      <c r="F147" s="4" t="str">
        <f>IF(E147&lt;&gt;"",_xlfn.XLOOKUP(G147,pivot!$B$1:$B$34,pivot!$A$1:$A$34,"",0),"")</f>
        <v/>
      </c>
      <c r="G147" s="6" t="s">
        <v>7</v>
      </c>
      <c r="H147" t="s">
        <v>348</v>
      </c>
      <c r="M147" s="4">
        <f t="shared" si="2"/>
        <v>6</v>
      </c>
    </row>
    <row r="148" spans="1:13" hidden="1" x14ac:dyDescent="0.25">
      <c r="A148" t="s">
        <v>72</v>
      </c>
      <c r="B148" s="6" t="s">
        <v>417</v>
      </c>
      <c r="C148" s="4" t="str">
        <f>_xlfn.XLOOKUP(B148,[1]ReportePolizaPorFiltroArribas!$G$1:$G$3955,[1]ReportePolizaPorFiltroArribas!$O$1:$O$3955,"No Encontrado",0)</f>
        <v>2026-04</v>
      </c>
      <c r="D148" s="4" t="str">
        <f>_xlfn.XLOOKUP(B148,[2]Tablero!$AP$1:$AP$6608,[2]Tablero!$AE$1:$AE$6608,"No Encontrado",0)</f>
        <v>01 - RENOVADA</v>
      </c>
      <c r="F148" s="4" t="str">
        <f>IF(E148&lt;&gt;"",_xlfn.XLOOKUP(G148,pivot!$B$1:$B$34,pivot!$A$1:$A$34,"",0),"")</f>
        <v/>
      </c>
      <c r="G148" t="s">
        <v>4</v>
      </c>
      <c r="H148" t="s">
        <v>348</v>
      </c>
      <c r="M148" s="4">
        <f t="shared" si="2"/>
        <v>6</v>
      </c>
    </row>
    <row r="149" spans="1:13" hidden="1" x14ac:dyDescent="0.25">
      <c r="A149" t="s">
        <v>168</v>
      </c>
      <c r="B149" s="6">
        <v>9632</v>
      </c>
      <c r="C149" s="4" t="str">
        <f>_xlfn.XLOOKUP(B149,[1]ReportePolizaPorFiltroArribas!$G$1:$G$3955,[1]ReportePolizaPorFiltroArribas!$O$1:$O$3955,"No Encontrado",0)</f>
        <v>2026-02</v>
      </c>
      <c r="D149" s="4" t="str">
        <f>_xlfn.XLOOKUP(B149,[2]Tablero!$AP$1:$AP$6608,[2]Tablero!$AE$1:$AE$6608,"No Encontrado",0)</f>
        <v>01 - RENOVADA</v>
      </c>
      <c r="F149" s="4" t="str">
        <f>IF(E149&lt;&gt;"",_xlfn.XLOOKUP(G149,pivot!$B$1:$B$34,pivot!$A$1:$A$34,"",0),"")</f>
        <v/>
      </c>
      <c r="G149" t="s">
        <v>17</v>
      </c>
      <c r="H149" t="s">
        <v>348</v>
      </c>
      <c r="M149" s="4">
        <f t="shared" si="2"/>
        <v>6</v>
      </c>
    </row>
    <row r="150" spans="1:13" hidden="1" x14ac:dyDescent="0.25">
      <c r="A150" t="s">
        <v>169</v>
      </c>
      <c r="B150" s="6">
        <v>1491923</v>
      </c>
      <c r="C150" s="4" t="str">
        <f>_xlfn.XLOOKUP(B150,[1]ReportePolizaPorFiltroArribas!$G$1:$G$3955,[1]ReportePolizaPorFiltroArribas!$O$1:$O$3955,"No Encontrado",0)</f>
        <v>2026-02</v>
      </c>
      <c r="D150" s="4" t="str">
        <f>_xlfn.XLOOKUP(B150,[2]Tablero!$AP$1:$AP$6608,[2]Tablero!$AE$1:$AE$6608,"No Encontrado",0)</f>
        <v>01 - RENOVADA</v>
      </c>
      <c r="F150" s="4" t="str">
        <f>IF(E150&lt;&gt;"",_xlfn.XLOOKUP(G150,pivot!$B$1:$B$34,pivot!$A$1:$A$34,"",0),"")</f>
        <v/>
      </c>
      <c r="G150" t="s">
        <v>7</v>
      </c>
      <c r="H150" t="s">
        <v>348</v>
      </c>
      <c r="M150" s="4">
        <f t="shared" si="2"/>
        <v>6</v>
      </c>
    </row>
    <row r="151" spans="1:13" hidden="1" x14ac:dyDescent="0.25">
      <c r="A151" t="s">
        <v>158</v>
      </c>
      <c r="B151" s="6">
        <v>1495169</v>
      </c>
      <c r="C151" s="4" t="str">
        <f>_xlfn.XLOOKUP(B151,[1]ReportePolizaPorFiltroArribas!$G$1:$G$3955,[1]ReportePolizaPorFiltroArribas!$O$1:$O$3955,"No Encontrado",0)</f>
        <v>2026-01</v>
      </c>
      <c r="D151" s="4" t="str">
        <f>_xlfn.XLOOKUP(B151,[2]Tablero!$AP$1:$AP$6608,[2]Tablero!$AE$1:$AE$6608,"No Encontrado",0)</f>
        <v>01 - RENOVADA</v>
      </c>
      <c r="F151" s="4" t="str">
        <f>IF(E151&lt;&gt;"",_xlfn.XLOOKUP(G151,pivot!$B$1:$B$34,pivot!$A$1:$A$34,"",0),"")</f>
        <v/>
      </c>
      <c r="G151" t="s">
        <v>7</v>
      </c>
      <c r="H151" t="s">
        <v>348</v>
      </c>
      <c r="M151" s="4">
        <f t="shared" si="2"/>
        <v>6</v>
      </c>
    </row>
    <row r="152" spans="1:13" hidden="1" x14ac:dyDescent="0.25">
      <c r="A152" t="s">
        <v>170</v>
      </c>
      <c r="B152" s="6">
        <v>53924</v>
      </c>
      <c r="C152" s="4" t="str">
        <f>_xlfn.XLOOKUP(B152,[1]ReportePolizaPorFiltroArribas!$G$1:$G$3955,[1]ReportePolizaPorFiltroArribas!$O$1:$O$3955,"No Encontrado",0)</f>
        <v>2026-02</v>
      </c>
      <c r="D152" s="4" t="str">
        <f>_xlfn.XLOOKUP(B152,[2]Tablero!$AP$1:$AP$6608,[2]Tablero!$AE$1:$AE$6608,"No Encontrado",0)</f>
        <v>01 - RENOVADA</v>
      </c>
      <c r="F152" s="4" t="str">
        <f>IF(E152&lt;&gt;"",_xlfn.XLOOKUP(G152,pivot!$B$1:$B$34,pivot!$A$1:$A$34,"",0),"")</f>
        <v/>
      </c>
      <c r="G152" t="s">
        <v>9</v>
      </c>
      <c r="H152" t="s">
        <v>348</v>
      </c>
      <c r="M152" s="4">
        <f t="shared" si="2"/>
        <v>6</v>
      </c>
    </row>
    <row r="153" spans="1:13" hidden="1" x14ac:dyDescent="0.25">
      <c r="A153" t="s">
        <v>171</v>
      </c>
      <c r="B153" s="6">
        <v>1506648</v>
      </c>
      <c r="C153" s="4" t="str">
        <f>_xlfn.XLOOKUP(B153,[1]ReportePolizaPorFiltroArribas!$G$1:$G$3955,[1]ReportePolizaPorFiltroArribas!$O$1:$O$3955,"No Encontrado",0)</f>
        <v>2026-03</v>
      </c>
      <c r="D153" s="4" t="str">
        <f>_xlfn.XLOOKUP(B153,[2]Tablero!$AP$1:$AP$6608,[2]Tablero!$AE$1:$AE$6608,"No Encontrado",0)</f>
        <v>01 - RENOVADA</v>
      </c>
      <c r="F153" s="4" t="str">
        <f>IF(E153&lt;&gt;"",_xlfn.XLOOKUP(G153,pivot!$B$1:$B$34,pivot!$A$1:$A$34,"",0),"")</f>
        <v/>
      </c>
      <c r="G153" t="s">
        <v>7</v>
      </c>
      <c r="H153" t="s">
        <v>348</v>
      </c>
      <c r="M153" s="4">
        <f t="shared" si="2"/>
        <v>6</v>
      </c>
    </row>
    <row r="154" spans="1:13" hidden="1" x14ac:dyDescent="0.25">
      <c r="A154" t="s">
        <v>172</v>
      </c>
      <c r="B154" s="16">
        <v>61443</v>
      </c>
      <c r="C154" s="4" t="str">
        <f>_xlfn.XLOOKUP(B154,[1]ReportePolizaPorFiltroArribas!$G$1:$G$3955,[1]ReportePolizaPorFiltroArribas!$O$1:$O$3955,"No Encontrado",0)</f>
        <v>2026-05</v>
      </c>
      <c r="D154" s="4" t="str">
        <f>_xlfn.XLOOKUP(B154,[2]Tablero!$AP$1:$AP$6608,[2]Tablero!$AE$1:$AE$6608,"No Encontrado",0)</f>
        <v>01 - RENOVADA</v>
      </c>
      <c r="F154" s="4" t="str">
        <f>IF(E154&lt;&gt;"",_xlfn.XLOOKUP(G154,pivot!$B$1:$B$34,pivot!$A$1:$A$34,"",0),"")</f>
        <v/>
      </c>
      <c r="G154" s="6" t="s">
        <v>8</v>
      </c>
      <c r="H154" t="s">
        <v>348</v>
      </c>
      <c r="M154" s="4">
        <f t="shared" si="2"/>
        <v>6</v>
      </c>
    </row>
    <row r="155" spans="1:13" hidden="1" x14ac:dyDescent="0.25">
      <c r="A155" t="s">
        <v>173</v>
      </c>
      <c r="B155" s="6">
        <v>1408028</v>
      </c>
      <c r="C155" s="4" t="str">
        <f>_xlfn.XLOOKUP(B155,[1]ReportePolizaPorFiltroArribas!$G$1:$G$3955,[1]ReportePolizaPorFiltroArribas!$O$1:$O$3955,"No Encontrado",0)</f>
        <v>2026-03</v>
      </c>
      <c r="D155" s="4" t="str">
        <f>_xlfn.XLOOKUP(B155,[2]Tablero!$AP$1:$AP$6608,[2]Tablero!$AE$1:$AE$6608,"No Encontrado",0)</f>
        <v>01 - RENOVADA</v>
      </c>
      <c r="F155" s="4" t="str">
        <f>IF(E155&lt;&gt;"",_xlfn.XLOOKUP(G155,pivot!$B$1:$B$34,pivot!$A$1:$A$34,"",0),"")</f>
        <v/>
      </c>
      <c r="G155" t="s">
        <v>7</v>
      </c>
      <c r="H155" t="s">
        <v>348</v>
      </c>
      <c r="M155" s="4">
        <f t="shared" si="2"/>
        <v>6</v>
      </c>
    </row>
    <row r="156" spans="1:13" hidden="1" x14ac:dyDescent="0.25">
      <c r="A156" t="s">
        <v>174</v>
      </c>
      <c r="B156" s="6">
        <v>1527972</v>
      </c>
      <c r="C156" s="4" t="str">
        <f>_xlfn.XLOOKUP(B156,[1]ReportePolizaPorFiltroArribas!$G$1:$G$3955,[1]ReportePolizaPorFiltroArribas!$O$1:$O$3955,"No Encontrado",0)</f>
        <v>2026-06</v>
      </c>
      <c r="D156" s="4" t="str">
        <f>_xlfn.XLOOKUP(B156,[2]Tablero!$AP$1:$AP$6608,[2]Tablero!$AE$1:$AE$6608,"No Encontrado",0)</f>
        <v>01 - RENOVADA</v>
      </c>
      <c r="F156" s="4" t="str">
        <f>IF(E156&lt;&gt;"",_xlfn.XLOOKUP(G156,pivot!$B$1:$B$34,pivot!$A$1:$A$34,"",0),"")</f>
        <v/>
      </c>
      <c r="G156" t="s">
        <v>7</v>
      </c>
      <c r="H156" t="s">
        <v>348</v>
      </c>
      <c r="M156" s="4">
        <f t="shared" si="2"/>
        <v>6</v>
      </c>
    </row>
    <row r="157" spans="1:13" hidden="1" x14ac:dyDescent="0.25">
      <c r="A157" t="s">
        <v>175</v>
      </c>
      <c r="B157" s="6">
        <v>12119</v>
      </c>
      <c r="C157" s="4" t="str">
        <f>_xlfn.XLOOKUP(B157,[1]ReportePolizaPorFiltroArribas!$G$1:$G$3955,[1]ReportePolizaPorFiltroArribas!$O$1:$O$3955,"No Encontrado",0)</f>
        <v>2026-06</v>
      </c>
      <c r="D157" s="4" t="str">
        <f>_xlfn.XLOOKUP(B157,[2]Tablero!$AP$1:$AP$6608,[2]Tablero!$AE$1:$AE$6608,"No Encontrado",0)</f>
        <v>01 - RENOVADA</v>
      </c>
      <c r="F157" s="4" t="str">
        <f>IF(E157&lt;&gt;"",_xlfn.XLOOKUP(G157,pivot!$B$1:$B$34,pivot!$A$1:$A$34,"",0),"")</f>
        <v/>
      </c>
      <c r="G157" t="s">
        <v>17</v>
      </c>
      <c r="H157" t="s">
        <v>348</v>
      </c>
      <c r="M157" s="4">
        <f t="shared" si="2"/>
        <v>6</v>
      </c>
    </row>
    <row r="158" spans="1:13" hidden="1" x14ac:dyDescent="0.25">
      <c r="A158" t="s">
        <v>176</v>
      </c>
      <c r="B158" s="6">
        <v>37313</v>
      </c>
      <c r="C158" s="4" t="str">
        <f>_xlfn.XLOOKUP(B158,[1]ReportePolizaPorFiltroArribas!$G$1:$G$3955,[1]ReportePolizaPorFiltroArribas!$O$1:$O$3955,"No Encontrado",0)</f>
        <v>2026-10</v>
      </c>
      <c r="D158" s="4" t="str">
        <f>_xlfn.XLOOKUP(B158,[2]Tablero!$AP$1:$AP$6608,[2]Tablero!$AE$1:$AE$6608,"No Encontrado",0)</f>
        <v>01 - RENOVADA</v>
      </c>
      <c r="F158" s="4" t="str">
        <f>IF(E158&lt;&gt;"",_xlfn.XLOOKUP(G158,pivot!$B$1:$B$34,pivot!$A$1:$A$34,"",0),"")</f>
        <v/>
      </c>
      <c r="G158" t="s">
        <v>8</v>
      </c>
      <c r="H158" t="s">
        <v>348</v>
      </c>
      <c r="M158" s="4">
        <f t="shared" si="2"/>
        <v>6</v>
      </c>
    </row>
    <row r="159" spans="1:13" hidden="1" x14ac:dyDescent="0.25">
      <c r="A159" t="s">
        <v>167</v>
      </c>
      <c r="B159" s="6">
        <v>86533</v>
      </c>
      <c r="C159" s="4" t="str">
        <f>_xlfn.XLOOKUP(B159,[1]ReportePolizaPorFiltroArribas!$G$1:$G$3955,[1]ReportePolizaPorFiltroArribas!$O$1:$O$3955,"No Encontrado",0)</f>
        <v>2026-10</v>
      </c>
      <c r="D159" s="4" t="str">
        <f>_xlfn.XLOOKUP(B159,[2]Tablero!$AP$1:$AP$6608,[2]Tablero!$AE$1:$AE$6608,"No Encontrado",0)</f>
        <v>01 - RENOVADA</v>
      </c>
      <c r="F159" s="4" t="str">
        <f>IF(E159&lt;&gt;"",_xlfn.XLOOKUP(G159,pivot!$B$1:$B$34,pivot!$A$1:$A$34,"",0),"")</f>
        <v/>
      </c>
      <c r="G159" t="s">
        <v>14</v>
      </c>
      <c r="H159" t="s">
        <v>348</v>
      </c>
      <c r="M159" s="4">
        <f t="shared" si="2"/>
        <v>6</v>
      </c>
    </row>
    <row r="160" spans="1:13" hidden="1" x14ac:dyDescent="0.25">
      <c r="A160" t="s">
        <v>108</v>
      </c>
      <c r="B160" s="6">
        <v>1545397</v>
      </c>
      <c r="C160" s="4" t="str">
        <f>_xlfn.XLOOKUP(B160,[1]ReportePolizaPorFiltroArribas!$G$1:$G$3955,[1]ReportePolizaPorFiltroArribas!$O$1:$O$3955,"No Encontrado",0)</f>
        <v>2026-07</v>
      </c>
      <c r="D160" s="4" t="str">
        <f>_xlfn.XLOOKUP(B160,[2]Tablero!$AP$1:$AP$6608,[2]Tablero!$AE$1:$AE$6608,"No Encontrado",0)</f>
        <v>01 - RENOVADA</v>
      </c>
      <c r="F160" s="4" t="str">
        <f>IF(E160&lt;&gt;"",_xlfn.XLOOKUP(G160,pivot!$B$1:$B$34,pivot!$A$1:$A$34,"",0),"")</f>
        <v/>
      </c>
      <c r="G160" t="s">
        <v>7</v>
      </c>
      <c r="H160" t="s">
        <v>438</v>
      </c>
      <c r="M160" s="4">
        <f t="shared" si="2"/>
        <v>6</v>
      </c>
    </row>
    <row r="161" spans="1:13" hidden="1" x14ac:dyDescent="0.25">
      <c r="A161" t="s">
        <v>156</v>
      </c>
      <c r="B161" s="6">
        <v>98895</v>
      </c>
      <c r="C161" s="4" t="str">
        <f>_xlfn.XLOOKUP(B161,[1]ReportePolizaPorFiltroArribas!$G$1:$G$3955,[1]ReportePolizaPorFiltroArribas!$O$1:$O$3955,"No Encontrado",0)</f>
        <v>2026-09</v>
      </c>
      <c r="D161" s="4" t="str">
        <f>_xlfn.XLOOKUP(B161,[2]Tablero!$AP$1:$AP$6608,[2]Tablero!$AE$1:$AE$6608,"No Encontrado",0)</f>
        <v>01 - RENOVADA</v>
      </c>
      <c r="F161" s="4" t="str">
        <f>IF(E161&lt;&gt;"",_xlfn.XLOOKUP(G161,pivot!$B$1:$B$34,pivot!$A$1:$A$34,"",0),"")</f>
        <v/>
      </c>
      <c r="G161" t="s">
        <v>14</v>
      </c>
      <c r="H161" t="s">
        <v>438</v>
      </c>
      <c r="M161" s="4">
        <f t="shared" si="2"/>
        <v>6</v>
      </c>
    </row>
    <row r="162" spans="1:13" hidden="1" x14ac:dyDescent="0.25">
      <c r="A162" t="s">
        <v>177</v>
      </c>
      <c r="B162" s="6">
        <v>54357</v>
      </c>
      <c r="C162" s="4" t="str">
        <f>_xlfn.XLOOKUP(B162,[1]ReportePolizaPorFiltroArribas!$G$1:$G$3955,[1]ReportePolizaPorFiltroArribas!$O$1:$O$3955,"No Encontrado",0)</f>
        <v>2026-06</v>
      </c>
      <c r="D162" s="4" t="str">
        <f>_xlfn.XLOOKUP(B162,[2]Tablero!$AP$1:$AP$6608,[2]Tablero!$AE$1:$AE$6608,"No Encontrado",0)</f>
        <v>01 - RENOVADA</v>
      </c>
      <c r="F162" s="4" t="str">
        <f>IF(E162&lt;&gt;"",_xlfn.XLOOKUP(G162,pivot!$B$1:$B$34,pivot!$A$1:$A$34,"",0),"")</f>
        <v/>
      </c>
      <c r="G162" t="s">
        <v>9</v>
      </c>
      <c r="H162" t="s">
        <v>438</v>
      </c>
      <c r="M162" s="4">
        <f t="shared" si="2"/>
        <v>6</v>
      </c>
    </row>
    <row r="163" spans="1:13" hidden="1" x14ac:dyDescent="0.25">
      <c r="A163" t="s">
        <v>179</v>
      </c>
      <c r="B163" s="6">
        <v>93584</v>
      </c>
      <c r="C163" s="4" t="str">
        <f>_xlfn.XLOOKUP(B163,[1]ReportePolizaPorFiltroArribas!$G$1:$G$3955,[1]ReportePolizaPorFiltroArribas!$O$1:$O$3955,"No Encontrado",0)</f>
        <v>2025-12</v>
      </c>
      <c r="D163" s="4" t="str">
        <f>_xlfn.XLOOKUP(B163,[2]Tablero!$AP$1:$AP$6608,[2]Tablero!$AE$1:$AE$6608,"No Encontrado",0)</f>
        <v>03 - PENDIENTE</v>
      </c>
      <c r="F163" s="4" t="str">
        <f>IF(E163&lt;&gt;"",_xlfn.XLOOKUP(G163,pivot!$B$1:$B$34,pivot!$A$1:$A$34,"",0),"")</f>
        <v/>
      </c>
      <c r="G163" t="s">
        <v>14</v>
      </c>
      <c r="H163" t="s">
        <v>371</v>
      </c>
      <c r="M163" s="4">
        <f t="shared" si="2"/>
        <v>6</v>
      </c>
    </row>
    <row r="164" spans="1:13" hidden="1" x14ac:dyDescent="0.25">
      <c r="A164" t="s">
        <v>180</v>
      </c>
      <c r="B164" s="6">
        <v>1418826</v>
      </c>
      <c r="C164" s="4" t="str">
        <f>_xlfn.XLOOKUP(B164,[1]ReportePolizaPorFiltroArribas!$G$1:$G$3955,[1]ReportePolizaPorFiltroArribas!$O$1:$O$3955,"No Encontrado",0)</f>
        <v>2026-03</v>
      </c>
      <c r="D164" s="4" t="str">
        <f>_xlfn.XLOOKUP(B164,[2]Tablero!$AP$1:$AP$6608,[2]Tablero!$AE$1:$AE$6608,"No Encontrado",0)</f>
        <v>01 - RENOVADA</v>
      </c>
      <c r="F164" s="4" t="str">
        <f>IF(E164&lt;&gt;"",_xlfn.XLOOKUP(G164,pivot!$B$1:$B$34,pivot!$A$1:$A$34,"",0),"")</f>
        <v/>
      </c>
      <c r="G164" s="6" t="s">
        <v>7</v>
      </c>
      <c r="H164" t="s">
        <v>371</v>
      </c>
      <c r="M164" s="4">
        <f t="shared" si="2"/>
        <v>6</v>
      </c>
    </row>
    <row r="165" spans="1:13" hidden="1" x14ac:dyDescent="0.25">
      <c r="A165" t="s">
        <v>181</v>
      </c>
      <c r="B165" s="6">
        <v>1408038</v>
      </c>
      <c r="C165" s="4" t="str">
        <f>_xlfn.XLOOKUP(B165,[1]ReportePolizaPorFiltroArribas!$G$1:$G$3955,[1]ReportePolizaPorFiltroArribas!$O$1:$O$3955,"No Encontrado",0)</f>
        <v>2026-03</v>
      </c>
      <c r="D165" s="4" t="str">
        <f>_xlfn.XLOOKUP(B165,[2]Tablero!$AP$1:$AP$6608,[2]Tablero!$AE$1:$AE$6608,"No Encontrado",0)</f>
        <v>01 - RENOVADA</v>
      </c>
      <c r="F165" s="4" t="str">
        <f>IF(E165&lt;&gt;"",_xlfn.XLOOKUP(G165,pivot!$B$1:$B$34,pivot!$A$1:$A$34,"",0),"")</f>
        <v/>
      </c>
      <c r="G165" t="s">
        <v>7</v>
      </c>
      <c r="H165" t="s">
        <v>371</v>
      </c>
      <c r="M165" s="4">
        <f t="shared" si="2"/>
        <v>6</v>
      </c>
    </row>
    <row r="166" spans="1:13" hidden="1" x14ac:dyDescent="0.25">
      <c r="A166" t="s">
        <v>182</v>
      </c>
      <c r="B166" s="6">
        <v>1532665</v>
      </c>
      <c r="C166" s="4" t="str">
        <f>_xlfn.XLOOKUP(B166,[1]ReportePolizaPorFiltroArribas!$G$1:$G$3955,[1]ReportePolizaPorFiltroArribas!$O$1:$O$3955,"No Encontrado",0)</f>
        <v>2026-05</v>
      </c>
      <c r="D166" s="4" t="str">
        <f>_xlfn.XLOOKUP(B166,[2]Tablero!$AP$1:$AP$6608,[2]Tablero!$AE$1:$AE$6608,"No Encontrado",0)</f>
        <v>01 - RENOVADA</v>
      </c>
      <c r="F166" s="4" t="str">
        <f>IF(E166&lt;&gt;"",_xlfn.XLOOKUP(G166,pivot!$B$1:$B$34,pivot!$A$1:$A$34,"",0),"")</f>
        <v/>
      </c>
      <c r="G166" t="s">
        <v>7</v>
      </c>
      <c r="H166" t="s">
        <v>371</v>
      </c>
      <c r="M166" s="4">
        <f t="shared" si="2"/>
        <v>6</v>
      </c>
    </row>
    <row r="167" spans="1:13" hidden="1" x14ac:dyDescent="0.25">
      <c r="A167" t="s">
        <v>183</v>
      </c>
      <c r="B167" s="6">
        <v>1538666</v>
      </c>
      <c r="C167" s="4" t="str">
        <f>_xlfn.XLOOKUP(B167,[1]ReportePolizaPorFiltroArribas!$G$1:$G$3955,[1]ReportePolizaPorFiltroArribas!$O$1:$O$3955,"No Encontrado",0)</f>
        <v>2026-07</v>
      </c>
      <c r="D167" s="4" t="str">
        <f>_xlfn.XLOOKUP(B167,[2]Tablero!$AP$1:$AP$6608,[2]Tablero!$AE$1:$AE$6608,"No Encontrado",0)</f>
        <v>01 - RENOVADA</v>
      </c>
      <c r="F167" s="4" t="str">
        <f>IF(E167&lt;&gt;"",_xlfn.XLOOKUP(G167,pivot!$B$1:$B$34,pivot!$A$1:$A$34,"",0),"")</f>
        <v/>
      </c>
      <c r="G167" s="6" t="s">
        <v>7</v>
      </c>
      <c r="H167" t="s">
        <v>371</v>
      </c>
      <c r="M167" s="4">
        <f t="shared" si="2"/>
        <v>6</v>
      </c>
    </row>
    <row r="168" spans="1:13" hidden="1" x14ac:dyDescent="0.25">
      <c r="A168" t="s">
        <v>156</v>
      </c>
      <c r="B168" s="16">
        <v>98960</v>
      </c>
      <c r="C168" s="4" t="str">
        <f>_xlfn.XLOOKUP(B168,[1]ReportePolizaPorFiltroArribas!$G$1:$G$3955,[1]ReportePolizaPorFiltroArribas!$O$1:$O$3955,"No Encontrado",0)</f>
        <v>2026-09</v>
      </c>
      <c r="D168" s="4" t="str">
        <f>_xlfn.XLOOKUP(B168,[2]Tablero!$AP$1:$AP$6608,[2]Tablero!$AE$1:$AE$6608,"No Encontrado",0)</f>
        <v>01 - RENOVADA</v>
      </c>
      <c r="F168" s="4" t="str">
        <f>IF(E168&lt;&gt;"",_xlfn.XLOOKUP(G168,pivot!$B$1:$B$34,pivot!$A$1:$A$34,"",0),"")</f>
        <v/>
      </c>
      <c r="G168" s="6" t="s">
        <v>14</v>
      </c>
      <c r="H168" t="s">
        <v>371</v>
      </c>
      <c r="M168" s="4">
        <f t="shared" si="2"/>
        <v>6</v>
      </c>
    </row>
    <row r="169" spans="1:13" hidden="1" x14ac:dyDescent="0.25">
      <c r="A169" t="s">
        <v>178</v>
      </c>
      <c r="B169" s="6">
        <v>1575320</v>
      </c>
      <c r="C169" s="4" t="str">
        <f>_xlfn.XLOOKUP(B169,[1]ReportePolizaPorFiltroArribas!$G$1:$G$3955,[1]ReportePolizaPorFiltroArribas!$O$1:$O$3955,"No Encontrado",0)</f>
        <v>2026-10</v>
      </c>
      <c r="D169" s="4" t="str">
        <f>_xlfn.XLOOKUP(B169,[2]Tablero!$AP$1:$AP$6608,[2]Tablero!$AE$1:$AE$6608,"No Encontrado",0)</f>
        <v>01 - RENOVADA</v>
      </c>
      <c r="F169" s="4" t="str">
        <f>IF(E169&lt;&gt;"",_xlfn.XLOOKUP(G169,pivot!$B$1:$B$34,pivot!$A$1:$A$34,"",0),"")</f>
        <v/>
      </c>
      <c r="G169" t="s">
        <v>7</v>
      </c>
      <c r="H169" t="s">
        <v>371</v>
      </c>
      <c r="M169" s="4">
        <f t="shared" si="2"/>
        <v>6</v>
      </c>
    </row>
    <row r="170" spans="1:13" hidden="1" x14ac:dyDescent="0.25">
      <c r="A170" t="s">
        <v>298</v>
      </c>
      <c r="B170" s="6">
        <v>1547969</v>
      </c>
      <c r="C170" s="4" t="str">
        <f>_xlfn.XLOOKUP(B170,[1]ReportePolizaPorFiltroArribas!$G$1:$G$3955,[1]ReportePolizaPorFiltroArribas!$O$1:$O$3955,"No Encontrado",0)</f>
        <v>2026-08</v>
      </c>
      <c r="D170" s="4" t="str">
        <f>_xlfn.XLOOKUP(B170,[2]Tablero!$AP$1:$AP$6608,[2]Tablero!$AE$1:$AE$6608,"No Encontrado",0)</f>
        <v>01 - RENOVADA</v>
      </c>
      <c r="E170" s="9"/>
      <c r="F170" s="4" t="str">
        <f>IF(E170&lt;&gt;"",_xlfn.XLOOKUP(G170,pivot!$B$1:$B$34,pivot!$A$1:$A$34,"",0),"")</f>
        <v/>
      </c>
      <c r="G170" t="s">
        <v>7</v>
      </c>
      <c r="H170" t="s">
        <v>371</v>
      </c>
      <c r="M170" s="4">
        <f t="shared" si="2"/>
        <v>6</v>
      </c>
    </row>
    <row r="171" spans="1:13" hidden="1" x14ac:dyDescent="0.25">
      <c r="A171" t="s">
        <v>418</v>
      </c>
      <c r="B171" s="6">
        <v>1573325</v>
      </c>
      <c r="C171" s="4" t="str">
        <f>_xlfn.XLOOKUP(B171,[1]ReportePolizaPorFiltroArribas!$G$1:$G$3955,[1]ReportePolizaPorFiltroArribas!$O$1:$O$3955,"No Encontrado",0)</f>
        <v>2026-10</v>
      </c>
      <c r="D171" s="4" t="str">
        <f>_xlfn.XLOOKUP(B171,[2]Tablero!$AP$1:$AP$6608,[2]Tablero!$AE$1:$AE$6608,"No Encontrado",0)</f>
        <v>01 - RENOVADA</v>
      </c>
      <c r="F171" s="4" t="str">
        <f>IF(E171&lt;&gt;"",_xlfn.XLOOKUP(G171,pivot!$B$1:$B$34,pivot!$A$1:$A$34,"",0),"")</f>
        <v/>
      </c>
      <c r="G171" t="s">
        <v>7</v>
      </c>
      <c r="H171" t="s">
        <v>371</v>
      </c>
      <c r="M171" s="4">
        <f t="shared" si="2"/>
        <v>6</v>
      </c>
    </row>
    <row r="172" spans="1:13" hidden="1" x14ac:dyDescent="0.25">
      <c r="A172" t="s">
        <v>300</v>
      </c>
      <c r="B172" s="6">
        <v>1464173</v>
      </c>
      <c r="C172" s="4" t="str">
        <f>_xlfn.XLOOKUP(B172,[1]ReportePolizaPorFiltroArribas!$G$1:$G$3955,[1]ReportePolizaPorFiltroArribas!$O$1:$O$3955,"No Encontrado",0)</f>
        <v>2026-10</v>
      </c>
      <c r="D172" s="4" t="str">
        <f>_xlfn.XLOOKUP(B172,[2]Tablero!$AP$1:$AP$6608,[2]Tablero!$AE$1:$AE$6608,"No Encontrado",0)</f>
        <v>01 - RENOVADA</v>
      </c>
      <c r="F172" s="4" t="str">
        <f>IF(E172&lt;&gt;"",_xlfn.XLOOKUP(G172,pivot!$B$1:$B$34,pivot!$A$1:$A$34,"",0),"")</f>
        <v/>
      </c>
      <c r="G172" t="s">
        <v>7</v>
      </c>
      <c r="H172" t="s">
        <v>371</v>
      </c>
      <c r="M172" s="4">
        <f t="shared" si="2"/>
        <v>6</v>
      </c>
    </row>
    <row r="173" spans="1:13" hidden="1" x14ac:dyDescent="0.25">
      <c r="A173" t="s">
        <v>360</v>
      </c>
      <c r="B173" s="6">
        <v>1563560</v>
      </c>
      <c r="C173" s="4" t="str">
        <f>_xlfn.XLOOKUP(B173,[1]ReportePolizaPorFiltroArribas!$G$1:$G$3955,[1]ReportePolizaPorFiltroArribas!$O$1:$O$3955,"No Encontrado",0)</f>
        <v>2026-09</v>
      </c>
      <c r="D173" s="4" t="str">
        <f>_xlfn.XLOOKUP(B173,[2]Tablero!$AP$1:$AP$6608,[2]Tablero!$AE$1:$AE$6608,"No Encontrado",0)</f>
        <v>01 - RENOVADA</v>
      </c>
      <c r="F173" s="4" t="str">
        <f>IF(E173&lt;&gt;"",_xlfn.XLOOKUP(G173,pivot!$B$1:$B$34,pivot!$A$1:$A$34,"",0),"")</f>
        <v/>
      </c>
      <c r="G173" t="s">
        <v>7</v>
      </c>
      <c r="H173" t="s">
        <v>371</v>
      </c>
      <c r="M173" s="4">
        <f t="shared" si="2"/>
        <v>6</v>
      </c>
    </row>
    <row r="174" spans="1:13" hidden="1" x14ac:dyDescent="0.25">
      <c r="A174" t="s">
        <v>421</v>
      </c>
      <c r="B174" s="6" t="s">
        <v>422</v>
      </c>
      <c r="C174" s="4" t="str">
        <f>_xlfn.XLOOKUP(B174,[1]ReportePolizaPorFiltroArribas!$G$1:$G$3955,[1]ReportePolizaPorFiltroArribas!$O$1:$O$3955,"No Encontrado",0)</f>
        <v>2026-09</v>
      </c>
      <c r="D174" s="4" t="str">
        <f>_xlfn.XLOOKUP(B174,[2]Tablero!$AP$1:$AP$6608,[2]Tablero!$AE$1:$AE$6608,"No Encontrado",0)</f>
        <v>01 - RENOVADA</v>
      </c>
      <c r="F174" s="4" t="str">
        <f>IF(E174&lt;&gt;"",_xlfn.XLOOKUP(G174,pivot!$B$1:$B$34,pivot!$A$1:$A$34,"",0),"")</f>
        <v/>
      </c>
      <c r="G174" t="s">
        <v>4</v>
      </c>
      <c r="H174" t="s">
        <v>371</v>
      </c>
      <c r="M174" s="4">
        <f t="shared" si="2"/>
        <v>6</v>
      </c>
    </row>
    <row r="175" spans="1:13" hidden="1" x14ac:dyDescent="0.25">
      <c r="A175" t="s">
        <v>423</v>
      </c>
      <c r="B175" s="6" t="s">
        <v>424</v>
      </c>
      <c r="C175" s="4" t="str">
        <f>_xlfn.XLOOKUP(B175,[1]ReportePolizaPorFiltroArribas!$G$1:$G$3955,[1]ReportePolizaPorFiltroArribas!$O$1:$O$3955,"No Encontrado",0)</f>
        <v>2026-09</v>
      </c>
      <c r="D175" s="4" t="str">
        <f>_xlfn.XLOOKUP(B175,[2]Tablero!$AP$1:$AP$6608,[2]Tablero!$AE$1:$AE$6608,"No Encontrado",0)</f>
        <v>01 - RENOVADA</v>
      </c>
      <c r="F175" s="4" t="str">
        <f>IF(E175&lt;&gt;"",_xlfn.XLOOKUP(G175,pivot!$B$1:$B$34,pivot!$A$1:$A$34,"",0),"")</f>
        <v/>
      </c>
      <c r="G175" t="s">
        <v>4</v>
      </c>
      <c r="H175" t="s">
        <v>371</v>
      </c>
      <c r="M175" s="4">
        <f t="shared" si="2"/>
        <v>6</v>
      </c>
    </row>
    <row r="176" spans="1:13" hidden="1" x14ac:dyDescent="0.25">
      <c r="A176" t="s">
        <v>184</v>
      </c>
      <c r="B176" s="6">
        <v>1502209</v>
      </c>
      <c r="C176" s="4" t="str">
        <f>_xlfn.XLOOKUP(B176,[1]ReportePolizaPorFiltroArribas!$G$1:$G$3955,[1]ReportePolizaPorFiltroArribas!$O$1:$O$3955,"No Encontrado",0)</f>
        <v>2026-02</v>
      </c>
      <c r="D176" s="4" t="str">
        <f>_xlfn.XLOOKUP(B176,[2]Tablero!$AP$1:$AP$6608,[2]Tablero!$AE$1:$AE$6608,"No Encontrado",0)</f>
        <v>01 - RENOVADA</v>
      </c>
      <c r="F176" s="4" t="str">
        <f>IF(E176&lt;&gt;"",_xlfn.XLOOKUP(G176,pivot!$B$1:$B$34,pivot!$A$1:$A$34,"",0),"")</f>
        <v/>
      </c>
      <c r="G176" s="6" t="s">
        <v>7</v>
      </c>
      <c r="H176" t="s">
        <v>336</v>
      </c>
      <c r="M176" s="4">
        <f t="shared" si="2"/>
        <v>6</v>
      </c>
    </row>
    <row r="177" spans="1:13" hidden="1" x14ac:dyDescent="0.25">
      <c r="A177" t="s">
        <v>185</v>
      </c>
      <c r="B177" s="6">
        <v>101748</v>
      </c>
      <c r="C177" s="4" t="str">
        <f>_xlfn.XLOOKUP(B177,[1]ReportePolizaPorFiltroArribas!$G$1:$G$3955,[1]ReportePolizaPorFiltroArribas!$O$1:$O$3955,"No Encontrado",0)</f>
        <v>2026-02</v>
      </c>
      <c r="D177" s="4" t="str">
        <f>_xlfn.XLOOKUP(B177,[2]Tablero!$AP$1:$AP$6608,[2]Tablero!$AE$1:$AE$6608,"No Encontrado",0)</f>
        <v>01 - RENOVADA</v>
      </c>
      <c r="F177" s="4" t="str">
        <f>IF(E177&lt;&gt;"",_xlfn.XLOOKUP(G177,pivot!$B$1:$B$34,pivot!$A$1:$A$34,"",0),"")</f>
        <v/>
      </c>
      <c r="G177" t="s">
        <v>14</v>
      </c>
      <c r="H177" t="s">
        <v>336</v>
      </c>
      <c r="M177" s="4">
        <f t="shared" si="2"/>
        <v>6</v>
      </c>
    </row>
    <row r="178" spans="1:13" hidden="1" x14ac:dyDescent="0.25">
      <c r="A178" t="s">
        <v>80</v>
      </c>
      <c r="B178" s="6">
        <v>53310</v>
      </c>
      <c r="C178" s="4" t="str">
        <f>_xlfn.XLOOKUP(B178,[1]ReportePolizaPorFiltroArribas!$G$1:$G$3955,[1]ReportePolizaPorFiltroArribas!$O$1:$O$3955,"No Encontrado",0)</f>
        <v>2026-05</v>
      </c>
      <c r="D178" s="4" t="str">
        <f>_xlfn.XLOOKUP(B178,[2]Tablero!$AP$1:$AP$6608,[2]Tablero!$AE$1:$AE$6608,"No Encontrado",0)</f>
        <v>01 - RENOVADA</v>
      </c>
      <c r="F178" s="4" t="str">
        <f>IF(E178&lt;&gt;"",_xlfn.XLOOKUP(G178,pivot!$B$1:$B$34,pivot!$A$1:$A$34,"",0),"")</f>
        <v/>
      </c>
      <c r="G178" t="s">
        <v>8</v>
      </c>
      <c r="H178" t="s">
        <v>336</v>
      </c>
      <c r="M178" s="4">
        <f t="shared" si="2"/>
        <v>6</v>
      </c>
    </row>
    <row r="179" spans="1:13" hidden="1" x14ac:dyDescent="0.25">
      <c r="A179" t="s">
        <v>186</v>
      </c>
      <c r="B179" s="6">
        <v>74518</v>
      </c>
      <c r="C179" s="4" t="str">
        <f>_xlfn.XLOOKUP(B179,[1]ReportePolizaPorFiltroArribas!$G$1:$G$3955,[1]ReportePolizaPorFiltroArribas!$O$1:$O$3955,"No Encontrado",0)</f>
        <v>2026-04</v>
      </c>
      <c r="D179" s="4" t="str">
        <f>_xlfn.XLOOKUP(B179,[2]Tablero!$AP$1:$AP$6608,[2]Tablero!$AE$1:$AE$6608,"No Encontrado",0)</f>
        <v>01 - RENOVADA</v>
      </c>
      <c r="F179" s="4" t="str">
        <f>IF(E179&lt;&gt;"",_xlfn.XLOOKUP(G179,pivot!$B$1:$B$34,pivot!$A$1:$A$34,"",0),"")</f>
        <v/>
      </c>
      <c r="G179" t="s">
        <v>8</v>
      </c>
      <c r="H179" t="s">
        <v>336</v>
      </c>
      <c r="M179" s="4">
        <f t="shared" si="2"/>
        <v>6</v>
      </c>
    </row>
    <row r="180" spans="1:13" hidden="1" x14ac:dyDescent="0.25">
      <c r="A180" t="s">
        <v>307</v>
      </c>
      <c r="B180" s="6">
        <v>1463838</v>
      </c>
      <c r="C180" s="4" t="str">
        <f>_xlfn.XLOOKUP(B180,[1]ReportePolizaPorFiltroArribas!$G$1:$G$3955,[1]ReportePolizaPorFiltroArribas!$O$1:$O$3955,"No Encontrado",0)</f>
        <v>2026-09</v>
      </c>
      <c r="D180" s="4" t="str">
        <f>_xlfn.XLOOKUP(B180,[2]Tablero!$AP$1:$AP$6608,[2]Tablero!$AE$1:$AE$6608,"No Encontrado",0)</f>
        <v>01 - RENOVADA</v>
      </c>
      <c r="F180" s="4" t="str">
        <f>IF(E180&lt;&gt;"",_xlfn.XLOOKUP(G180,pivot!$B$1:$B$34,pivot!$A$1:$A$34,"",0),"")</f>
        <v/>
      </c>
      <c r="G180" t="s">
        <v>7</v>
      </c>
      <c r="H180" t="s">
        <v>336</v>
      </c>
      <c r="M180" s="4">
        <f t="shared" si="2"/>
        <v>6</v>
      </c>
    </row>
    <row r="181" spans="1:13" hidden="1" x14ac:dyDescent="0.25">
      <c r="A181" t="s">
        <v>153</v>
      </c>
      <c r="B181" s="6">
        <v>1565837</v>
      </c>
      <c r="C181" s="4" t="str">
        <f>_xlfn.XLOOKUP(B181,[1]ReportePolizaPorFiltroArribas!$G$1:$G$3955,[1]ReportePolizaPorFiltroArribas!$O$1:$O$3955,"No Encontrado",0)</f>
        <v>2026-09</v>
      </c>
      <c r="D181" s="4" t="str">
        <f>_xlfn.XLOOKUP(B181,[2]Tablero!$AP$1:$AP$6608,[2]Tablero!$AE$1:$AE$6608,"No Encontrado",0)</f>
        <v>01 - RENOVADA</v>
      </c>
      <c r="F181" s="4" t="str">
        <f>IF(E181&lt;&gt;"",_xlfn.XLOOKUP(G181,pivot!$B$1:$B$34,pivot!$A$1:$A$34,"",0),"")</f>
        <v/>
      </c>
      <c r="G181" s="6" t="s">
        <v>7</v>
      </c>
      <c r="H181" t="s">
        <v>372</v>
      </c>
      <c r="M181" s="4">
        <f t="shared" si="2"/>
        <v>6</v>
      </c>
    </row>
    <row r="182" spans="1:13" hidden="1" x14ac:dyDescent="0.25">
      <c r="A182" t="s">
        <v>188</v>
      </c>
      <c r="B182" s="16">
        <v>1547990</v>
      </c>
      <c r="C182" s="4" t="str">
        <f>_xlfn.XLOOKUP(B182,[1]ReportePolizaPorFiltroArribas!$G$1:$G$3955,[1]ReportePolizaPorFiltroArribas!$O$1:$O$3955,"No Encontrado",0)</f>
        <v>2026-08</v>
      </c>
      <c r="D182" s="4" t="str">
        <f>_xlfn.XLOOKUP(B182,[2]Tablero!$AP$1:$AP$6608,[2]Tablero!$AE$1:$AE$6608,"No Encontrado",0)</f>
        <v>01 - RENOVADA</v>
      </c>
      <c r="F182" s="4" t="str">
        <f>IF(E182&lt;&gt;"",_xlfn.XLOOKUP(G182,pivot!$B$1:$B$34,pivot!$A$1:$A$34,"",0),"")</f>
        <v/>
      </c>
      <c r="G182" s="6" t="s">
        <v>7</v>
      </c>
      <c r="H182" t="s">
        <v>372</v>
      </c>
      <c r="M182" s="4">
        <f t="shared" si="2"/>
        <v>6</v>
      </c>
    </row>
    <row r="183" spans="1:13" hidden="1" x14ac:dyDescent="0.25">
      <c r="A183" t="s">
        <v>361</v>
      </c>
      <c r="B183" s="6">
        <v>1575405</v>
      </c>
      <c r="C183" s="4" t="str">
        <f>_xlfn.XLOOKUP(B183,[1]ReportePolizaPorFiltroArribas!$G$1:$G$3955,[1]ReportePolizaPorFiltroArribas!$O$1:$O$3955,"No Encontrado",0)</f>
        <v>2026-09</v>
      </c>
      <c r="D183" s="4" t="str">
        <f>_xlfn.XLOOKUP(B183,[2]Tablero!$AP$1:$AP$6608,[2]Tablero!$AE$1:$AE$6608,"No Encontrado",0)</f>
        <v>01 - RENOVADA</v>
      </c>
      <c r="F183" s="4" t="str">
        <f>IF(E183&lt;&gt;"",_xlfn.XLOOKUP(G183,pivot!$B$1:$B$34,pivot!$A$1:$A$34,"",0),"")</f>
        <v/>
      </c>
      <c r="G183" t="s">
        <v>7</v>
      </c>
      <c r="H183" t="s">
        <v>372</v>
      </c>
      <c r="M183" s="4">
        <f t="shared" si="2"/>
        <v>6</v>
      </c>
    </row>
    <row r="184" spans="1:13" hidden="1" x14ac:dyDescent="0.25">
      <c r="A184" t="s">
        <v>69</v>
      </c>
      <c r="B184" s="6">
        <v>571204</v>
      </c>
      <c r="C184" s="4" t="str">
        <f>_xlfn.XLOOKUP(B184,[1]ReportePolizaPorFiltroArribas!$G$1:$G$3955,[1]ReportePolizaPorFiltroArribas!$O$1:$O$3955,"No Encontrado",0)</f>
        <v>2026-06</v>
      </c>
      <c r="D184" s="4" t="str">
        <f>_xlfn.XLOOKUP(B184,[2]Tablero!$AP$1:$AP$6608,[2]Tablero!$AE$1:$AE$6608,"No Encontrado",0)</f>
        <v>01 - RENOVADA</v>
      </c>
      <c r="F184" s="4" t="str">
        <f>IF(E184&lt;&gt;"",_xlfn.XLOOKUP(G184,pivot!$B$1:$B$34,pivot!$A$1:$A$34,"",0),"")</f>
        <v/>
      </c>
      <c r="G184" t="s">
        <v>7</v>
      </c>
      <c r="H184" t="s">
        <v>402</v>
      </c>
      <c r="M184" s="4">
        <f t="shared" si="2"/>
        <v>6</v>
      </c>
    </row>
    <row r="185" spans="1:13" hidden="1" x14ac:dyDescent="0.25">
      <c r="A185" t="s">
        <v>299</v>
      </c>
      <c r="B185" s="6">
        <v>1066596</v>
      </c>
      <c r="C185" s="4" t="str">
        <f>_xlfn.XLOOKUP(B185,[1]ReportePolizaPorFiltroArribas!$G$1:$G$3955,[1]ReportePolizaPorFiltroArribas!$O$1:$O$3955,"No Encontrado",0)</f>
        <v>2026-08</v>
      </c>
      <c r="D185" s="4" t="str">
        <f>_xlfn.XLOOKUP(B185,[2]Tablero!$AP$1:$AP$6608,[2]Tablero!$AE$1:$AE$6608,"No Encontrado",0)</f>
        <v>01 - RENOVADA</v>
      </c>
      <c r="F185" s="4" t="str">
        <f>IF(E185&lt;&gt;"",_xlfn.XLOOKUP(G185,pivot!$B$1:$B$34,pivot!$A$1:$A$34,"",0),"")</f>
        <v/>
      </c>
      <c r="G185" t="s">
        <v>7</v>
      </c>
      <c r="H185" t="s">
        <v>402</v>
      </c>
      <c r="M185" s="4">
        <f t="shared" si="2"/>
        <v>6</v>
      </c>
    </row>
    <row r="186" spans="1:13" hidden="1" x14ac:dyDescent="0.25">
      <c r="A186" t="s">
        <v>134</v>
      </c>
      <c r="B186" s="6">
        <v>48909</v>
      </c>
      <c r="C186" s="4" t="str">
        <f>_xlfn.XLOOKUP(B186,[1]ReportePolizaPorFiltroArribas!$G$1:$G$3955,[1]ReportePolizaPorFiltroArribas!$O$1:$O$3955,"No Encontrado",0)</f>
        <v>2026-04</v>
      </c>
      <c r="D186" s="4" t="str">
        <f>_xlfn.XLOOKUP(B186,[2]Tablero!$AP$1:$AP$6608,[2]Tablero!$AE$1:$AE$6608,"No Encontrado",0)</f>
        <v>01 - RENOVADA</v>
      </c>
      <c r="F186" s="4" t="str">
        <f>IF(E186&lt;&gt;"",_xlfn.XLOOKUP(G186,pivot!$B$1:$B$34,pivot!$A$1:$A$34,"",0),"")</f>
        <v/>
      </c>
      <c r="G186" s="6" t="s">
        <v>9</v>
      </c>
      <c r="H186" t="s">
        <v>402</v>
      </c>
      <c r="M186" s="4">
        <f t="shared" si="2"/>
        <v>6</v>
      </c>
    </row>
    <row r="187" spans="1:13" hidden="1" x14ac:dyDescent="0.25">
      <c r="A187" t="s">
        <v>190</v>
      </c>
      <c r="B187" s="6">
        <v>1505738</v>
      </c>
      <c r="C187" s="4" t="str">
        <f>_xlfn.XLOOKUP(B187,[1]ReportePolizaPorFiltroArribas!$G$1:$G$3955,[1]ReportePolizaPorFiltroArribas!$O$1:$O$3955,"No Encontrado",0)</f>
        <v>2026-02</v>
      </c>
      <c r="D187" s="4" t="str">
        <f>_xlfn.XLOOKUP(B187,[2]Tablero!$AP$1:$AP$6608,[2]Tablero!$AE$1:$AE$6608,"No Encontrado",0)</f>
        <v>01 - RENOVADA</v>
      </c>
      <c r="F187" s="4" t="str">
        <f>IF(E187&lt;&gt;"",_xlfn.XLOOKUP(G187,pivot!$B$1:$B$34,pivot!$A$1:$A$34,"",0),"")</f>
        <v/>
      </c>
      <c r="G187" t="s">
        <v>7</v>
      </c>
      <c r="H187" t="s">
        <v>402</v>
      </c>
      <c r="M187" s="4">
        <f t="shared" si="2"/>
        <v>6</v>
      </c>
    </row>
    <row r="188" spans="1:13" hidden="1" x14ac:dyDescent="0.25">
      <c r="A188" t="s">
        <v>81</v>
      </c>
      <c r="B188" s="6">
        <v>1537757</v>
      </c>
      <c r="C188" s="4" t="str">
        <f>_xlfn.XLOOKUP(B188,[1]ReportePolizaPorFiltroArribas!$G$1:$G$3955,[1]ReportePolizaPorFiltroArribas!$O$1:$O$3955,"No Encontrado",0)</f>
        <v>2026-06</v>
      </c>
      <c r="D188" s="4" t="str">
        <f>_xlfn.XLOOKUP(B188,[2]Tablero!$AP$1:$AP$6608,[2]Tablero!$AE$1:$AE$6608,"No Encontrado",0)</f>
        <v>01 - RENOVADA</v>
      </c>
      <c r="F188" s="4" t="str">
        <f>IF(E188&lt;&gt;"",_xlfn.XLOOKUP(G188,pivot!$B$1:$B$34,pivot!$A$1:$A$34,"",0),"")</f>
        <v/>
      </c>
      <c r="G188" t="s">
        <v>7</v>
      </c>
      <c r="H188" t="s">
        <v>402</v>
      </c>
      <c r="M188" s="4">
        <f t="shared" si="2"/>
        <v>6</v>
      </c>
    </row>
    <row r="189" spans="1:13" hidden="1" x14ac:dyDescent="0.25">
      <c r="A189" t="s">
        <v>357</v>
      </c>
      <c r="B189" s="6">
        <v>1563812</v>
      </c>
      <c r="C189" s="4" t="str">
        <f>_xlfn.XLOOKUP(B189,[1]ReportePolizaPorFiltroArribas!$G$1:$G$3955,[1]ReportePolizaPorFiltroArribas!$O$1:$O$3955,"No Encontrado",0)</f>
        <v>2026-09</v>
      </c>
      <c r="D189" s="4" t="str">
        <f>_xlfn.XLOOKUP(B189,[2]Tablero!$AP$1:$AP$6608,[2]Tablero!$AE$1:$AE$6608,"No Encontrado",0)</f>
        <v>01 - RENOVADA</v>
      </c>
      <c r="F189" s="4" t="str">
        <f>IF(E189&lt;&gt;"",_xlfn.XLOOKUP(G189,pivot!$B$1:$B$34,pivot!$A$1:$A$34,"",0),"")</f>
        <v/>
      </c>
      <c r="G189" t="s">
        <v>7</v>
      </c>
      <c r="H189" t="s">
        <v>402</v>
      </c>
      <c r="M189" s="4">
        <f t="shared" si="2"/>
        <v>6</v>
      </c>
    </row>
    <row r="190" spans="1:13" hidden="1" x14ac:dyDescent="0.25">
      <c r="A190" t="s">
        <v>407</v>
      </c>
      <c r="B190" s="6">
        <v>1575959</v>
      </c>
      <c r="C190" s="4" t="str">
        <f>_xlfn.XLOOKUP(B190,[1]ReportePolizaPorFiltroArribas!$G$1:$G$3955,[1]ReportePolizaPorFiltroArribas!$O$1:$O$3955,"No Encontrado",0)</f>
        <v>2026-09</v>
      </c>
      <c r="D190" s="4" t="str">
        <f>_xlfn.XLOOKUP(B190,[2]Tablero!$AP$1:$AP$6608,[2]Tablero!$AE$1:$AE$6608,"No Encontrado",0)</f>
        <v>No Encontrado</v>
      </c>
      <c r="F190" s="4" t="str">
        <f>IF(E190&lt;&gt;"",_xlfn.XLOOKUP(G190,pivot!$B$1:$B$34,pivot!$A$1:$A$34,"",0),"")</f>
        <v/>
      </c>
      <c r="G190" t="s">
        <v>7</v>
      </c>
      <c r="H190" t="s">
        <v>402</v>
      </c>
      <c r="M190" s="4">
        <f t="shared" si="2"/>
        <v>6</v>
      </c>
    </row>
    <row r="191" spans="1:13" hidden="1" x14ac:dyDescent="0.25">
      <c r="A191" t="s">
        <v>362</v>
      </c>
      <c r="B191" s="6">
        <v>1454542</v>
      </c>
      <c r="C191" s="4" t="str">
        <f>_xlfn.XLOOKUP(B191,[1]ReportePolizaPorFiltroArribas!$G$1:$G$3955,[1]ReportePolizaPorFiltroArribas!$O$1:$O$3955,"No Encontrado",0)</f>
        <v>2026-09</v>
      </c>
      <c r="D191" s="4" t="str">
        <f>_xlfn.XLOOKUP(B191,[2]Tablero!$AP$1:$AP$6608,[2]Tablero!$AE$1:$AE$6608,"No Encontrado",0)</f>
        <v>01 - RENOVADA</v>
      </c>
      <c r="E191" s="9"/>
      <c r="F191" s="4" t="str">
        <f>IF(E191&lt;&gt;"",_xlfn.XLOOKUP(G191,pivot!$B$1:$B$34,pivot!$A$1:$A$34,"",0),"")</f>
        <v/>
      </c>
      <c r="G191" t="s">
        <v>7</v>
      </c>
      <c r="H191" t="s">
        <v>402</v>
      </c>
      <c r="M191" s="4">
        <f t="shared" si="2"/>
        <v>6</v>
      </c>
    </row>
    <row r="192" spans="1:13" hidden="1" x14ac:dyDescent="0.25">
      <c r="A192" t="s">
        <v>191</v>
      </c>
      <c r="B192" s="6">
        <v>51354</v>
      </c>
      <c r="C192" s="4" t="str">
        <f>_xlfn.XLOOKUP(B192,[1]ReportePolizaPorFiltroArribas!$G$1:$G$3955,[1]ReportePolizaPorFiltroArribas!$O$1:$O$3955,"No Encontrado",0)</f>
        <v>2026-02</v>
      </c>
      <c r="D192" s="4" t="str">
        <f>_xlfn.XLOOKUP(B192,[2]Tablero!$AP$1:$AP$6608,[2]Tablero!$AE$1:$AE$6608,"No Encontrado",0)</f>
        <v>01 - RENOVADA</v>
      </c>
      <c r="F192" s="4" t="str">
        <f>IF(E192&lt;&gt;"",_xlfn.XLOOKUP(G192,pivot!$B$1:$B$34,pivot!$A$1:$A$34,"",0),"")</f>
        <v/>
      </c>
      <c r="G192" t="s">
        <v>8</v>
      </c>
      <c r="H192" t="s">
        <v>439</v>
      </c>
      <c r="M192" s="4">
        <f t="shared" si="2"/>
        <v>6</v>
      </c>
    </row>
    <row r="193" spans="1:13" hidden="1" x14ac:dyDescent="0.25">
      <c r="A193" t="s">
        <v>192</v>
      </c>
      <c r="B193" s="6">
        <v>1516119</v>
      </c>
      <c r="C193" s="4" t="str">
        <f>_xlfn.XLOOKUP(B193,[1]ReportePolizaPorFiltroArribas!$G$1:$G$3955,[1]ReportePolizaPorFiltroArribas!$O$1:$O$3955,"No Encontrado",0)</f>
        <v>2026-03</v>
      </c>
      <c r="D193" s="4" t="str">
        <f>_xlfn.XLOOKUP(B193,[2]Tablero!$AP$1:$AP$6608,[2]Tablero!$AE$1:$AE$6608,"No Encontrado",0)</f>
        <v>01 - RENOVADA</v>
      </c>
      <c r="F193" s="4" t="str">
        <f>IF(E193&lt;&gt;"",_xlfn.XLOOKUP(G193,pivot!$B$1:$B$34,pivot!$A$1:$A$34,"",0),"")</f>
        <v/>
      </c>
      <c r="G193" t="s">
        <v>7</v>
      </c>
      <c r="H193" t="s">
        <v>439</v>
      </c>
      <c r="M193" s="4">
        <f t="shared" si="2"/>
        <v>6</v>
      </c>
    </row>
    <row r="194" spans="1:13" hidden="1" x14ac:dyDescent="0.25">
      <c r="A194" t="s">
        <v>193</v>
      </c>
      <c r="B194" s="6">
        <v>1516120</v>
      </c>
      <c r="C194" s="4" t="str">
        <f>_xlfn.XLOOKUP(B194,[1]ReportePolizaPorFiltroArribas!$G$1:$G$3955,[1]ReportePolizaPorFiltroArribas!$O$1:$O$3955,"No Encontrado",0)</f>
        <v>2026-03</v>
      </c>
      <c r="D194" s="4" t="str">
        <f>_xlfn.XLOOKUP(B194,[2]Tablero!$AP$1:$AP$6608,[2]Tablero!$AE$1:$AE$6608,"No Encontrado",0)</f>
        <v>01 - RENOVADA</v>
      </c>
      <c r="F194" s="4" t="str">
        <f>IF(E194&lt;&gt;"",_xlfn.XLOOKUP(G194,pivot!$B$1:$B$34,pivot!$A$1:$A$34,"",0),"")</f>
        <v/>
      </c>
      <c r="G194" t="s">
        <v>7</v>
      </c>
      <c r="H194" t="s">
        <v>439</v>
      </c>
      <c r="M194" s="4">
        <f t="shared" si="2"/>
        <v>6</v>
      </c>
    </row>
    <row r="195" spans="1:13" hidden="1" x14ac:dyDescent="0.25">
      <c r="A195" t="s">
        <v>194</v>
      </c>
      <c r="B195" s="6">
        <v>1525337</v>
      </c>
      <c r="C195" s="4" t="str">
        <f>_xlfn.XLOOKUP(B195,[1]ReportePolizaPorFiltroArribas!$G$1:$G$3955,[1]ReportePolizaPorFiltroArribas!$O$1:$O$3955,"No Encontrado",0)</f>
        <v>2026-05</v>
      </c>
      <c r="D195" s="4" t="str">
        <f>_xlfn.XLOOKUP(B195,[2]Tablero!$AP$1:$AP$6608,[2]Tablero!$AE$1:$AE$6608,"No Encontrado",0)</f>
        <v>01 - RENOVADA</v>
      </c>
      <c r="F195" s="4" t="str">
        <f>IF(E195&lt;&gt;"",_xlfn.XLOOKUP(G195,pivot!$B$1:$B$34,pivot!$A$1:$A$34,"",0),"")</f>
        <v/>
      </c>
      <c r="G195" t="s">
        <v>7</v>
      </c>
      <c r="H195" t="s">
        <v>439</v>
      </c>
      <c r="M195" s="4">
        <f t="shared" ref="M195:M258" si="3">IF(C195&lt;=TEXT(H195,"YYYY-MM"),2,6)</f>
        <v>6</v>
      </c>
    </row>
    <row r="196" spans="1:13" hidden="1" x14ac:dyDescent="0.25">
      <c r="A196" t="s">
        <v>195</v>
      </c>
      <c r="B196" s="6">
        <v>36481</v>
      </c>
      <c r="C196" s="4" t="str">
        <f>_xlfn.XLOOKUP(B196,[1]ReportePolizaPorFiltroArribas!$G$1:$G$3955,[1]ReportePolizaPorFiltroArribas!$O$1:$O$3955,"No Encontrado",0)</f>
        <v>2026-07</v>
      </c>
      <c r="D196" s="4" t="str">
        <f>_xlfn.XLOOKUP(B196,[2]Tablero!$AP$1:$AP$6608,[2]Tablero!$AE$1:$AE$6608,"No Encontrado",0)</f>
        <v>01 - RENOVADA</v>
      </c>
      <c r="F196" s="4" t="str">
        <f>IF(E196&lt;&gt;"",_xlfn.XLOOKUP(G196,pivot!$B$1:$B$34,pivot!$A$1:$A$34,"",0),"")</f>
        <v/>
      </c>
      <c r="G196" t="s">
        <v>8</v>
      </c>
      <c r="H196" t="s">
        <v>439</v>
      </c>
      <c r="M196" s="4">
        <f t="shared" si="3"/>
        <v>6</v>
      </c>
    </row>
    <row r="197" spans="1:13" hidden="1" x14ac:dyDescent="0.25">
      <c r="A197" t="s">
        <v>196</v>
      </c>
      <c r="B197" s="6">
        <v>1538645</v>
      </c>
      <c r="C197" s="4" t="str">
        <f>_xlfn.XLOOKUP(B197,[1]ReportePolizaPorFiltroArribas!$G$1:$G$3955,[1]ReportePolizaPorFiltroArribas!$O$1:$O$3955,"No Encontrado",0)</f>
        <v>2026-07</v>
      </c>
      <c r="D197" s="4" t="str">
        <f>_xlfn.XLOOKUP(B197,[2]Tablero!$AP$1:$AP$6608,[2]Tablero!$AE$1:$AE$6608,"No Encontrado",0)</f>
        <v>01 - RENOVADA</v>
      </c>
      <c r="F197" s="4" t="str">
        <f>IF(E197&lt;&gt;"",_xlfn.XLOOKUP(G197,pivot!$B$1:$B$34,pivot!$A$1:$A$34,"",0),"")</f>
        <v/>
      </c>
      <c r="G197" t="s">
        <v>7</v>
      </c>
      <c r="H197" t="s">
        <v>439</v>
      </c>
      <c r="M197" s="4">
        <f t="shared" si="3"/>
        <v>6</v>
      </c>
    </row>
    <row r="198" spans="1:13" hidden="1" x14ac:dyDescent="0.25">
      <c r="A198" t="s">
        <v>425</v>
      </c>
      <c r="B198" s="6">
        <v>1573343</v>
      </c>
      <c r="C198" s="4" t="str">
        <f>_xlfn.XLOOKUP(B198,[1]ReportePolizaPorFiltroArribas!$G$1:$G$3955,[1]ReportePolizaPorFiltroArribas!$O$1:$O$3955,"No Encontrado",0)</f>
        <v>2026-10</v>
      </c>
      <c r="D198" s="4" t="str">
        <f>_xlfn.XLOOKUP(B198,[2]Tablero!$AP$1:$AP$6608,[2]Tablero!$AE$1:$AE$6608,"No Encontrado",0)</f>
        <v>01 - RENOVADA</v>
      </c>
      <c r="F198" s="4" t="str">
        <f>IF(E198&lt;&gt;"",_xlfn.XLOOKUP(G198,pivot!$B$1:$B$34,pivot!$A$1:$A$34,"",0),"")</f>
        <v/>
      </c>
      <c r="G198" t="s">
        <v>7</v>
      </c>
      <c r="H198" t="s">
        <v>439</v>
      </c>
      <c r="M198" s="4">
        <f t="shared" si="3"/>
        <v>6</v>
      </c>
    </row>
    <row r="199" spans="1:13" hidden="1" x14ac:dyDescent="0.25">
      <c r="A199" t="s">
        <v>197</v>
      </c>
      <c r="B199" s="6">
        <v>1551803</v>
      </c>
      <c r="C199" s="4" t="str">
        <f>_xlfn.XLOOKUP(B199,[1]ReportePolizaPorFiltroArribas!$G$1:$G$3955,[1]ReportePolizaPorFiltroArribas!$O$1:$O$3955,"No Encontrado",0)</f>
        <v>2026-07</v>
      </c>
      <c r="D199" s="4" t="str">
        <f>_xlfn.XLOOKUP(B199,[2]Tablero!$AP$1:$AP$6608,[2]Tablero!$AE$1:$AE$6608,"No Encontrado",0)</f>
        <v>01 - RENOVADA</v>
      </c>
      <c r="F199" s="4" t="str">
        <f>IF(E199&lt;&gt;"",_xlfn.XLOOKUP(G199,pivot!$B$1:$B$34,pivot!$A$1:$A$34,"",0),"")</f>
        <v/>
      </c>
      <c r="G199" t="s">
        <v>7</v>
      </c>
      <c r="H199" t="s">
        <v>439</v>
      </c>
      <c r="M199" s="4">
        <f t="shared" si="3"/>
        <v>6</v>
      </c>
    </row>
    <row r="200" spans="1:13" hidden="1" x14ac:dyDescent="0.25">
      <c r="A200" t="s">
        <v>426</v>
      </c>
      <c r="B200" s="6">
        <v>1573381</v>
      </c>
      <c r="C200" s="4" t="str">
        <f>_xlfn.XLOOKUP(B200,[1]ReportePolizaPorFiltroArribas!$G$1:$G$3955,[1]ReportePolizaPorFiltroArribas!$O$1:$O$3955,"No Encontrado",0)</f>
        <v>2026-10</v>
      </c>
      <c r="D200" s="4" t="str">
        <f>_xlfn.XLOOKUP(B200,[2]Tablero!$AP$1:$AP$6608,[2]Tablero!$AE$1:$AE$6608,"No Encontrado",0)</f>
        <v>01 - RENOVADA</v>
      </c>
      <c r="F200" s="4" t="str">
        <f>IF(E200&lt;&gt;"",_xlfn.XLOOKUP(G200,pivot!$B$1:$B$34,pivot!$A$1:$A$34,"",0),"")</f>
        <v/>
      </c>
      <c r="G200" t="s">
        <v>7</v>
      </c>
      <c r="H200" t="s">
        <v>439</v>
      </c>
      <c r="M200" s="4">
        <f t="shared" si="3"/>
        <v>6</v>
      </c>
    </row>
    <row r="201" spans="1:13" hidden="1" x14ac:dyDescent="0.25">
      <c r="A201" t="s">
        <v>189</v>
      </c>
      <c r="B201" s="6">
        <v>1546062</v>
      </c>
      <c r="C201" s="4" t="str">
        <f>_xlfn.XLOOKUP(B201,[1]ReportePolizaPorFiltroArribas!$G$1:$G$3955,[1]ReportePolizaPorFiltroArribas!$O$1:$O$3955,"No Encontrado",0)</f>
        <v>2026-08</v>
      </c>
      <c r="D201" s="4" t="str">
        <f>_xlfn.XLOOKUP(B201,[2]Tablero!$AP$1:$AP$6608,[2]Tablero!$AE$1:$AE$6608,"No Encontrado",0)</f>
        <v>01 - RENOVADA</v>
      </c>
      <c r="F201" s="4" t="str">
        <f>IF(E201&lt;&gt;"",_xlfn.XLOOKUP(G201,pivot!$B$1:$B$34,pivot!$A$1:$A$34,"",0),"")</f>
        <v/>
      </c>
      <c r="G201" t="s">
        <v>7</v>
      </c>
      <c r="H201" t="s">
        <v>373</v>
      </c>
      <c r="M201" s="4">
        <f t="shared" si="3"/>
        <v>6</v>
      </c>
    </row>
    <row r="202" spans="1:13" hidden="1" x14ac:dyDescent="0.25">
      <c r="A202" t="s">
        <v>198</v>
      </c>
      <c r="B202" s="6">
        <v>1433287</v>
      </c>
      <c r="C202" s="4" t="str">
        <f>_xlfn.XLOOKUP(B202,[1]ReportePolizaPorFiltroArribas!$G$1:$G$3955,[1]ReportePolizaPorFiltroArribas!$O$1:$O$3955,"No Encontrado",0)</f>
        <v>2026-05</v>
      </c>
      <c r="D202" s="4" t="str">
        <f>_xlfn.XLOOKUP(B202,[2]Tablero!$AP$1:$AP$6608,[2]Tablero!$AE$1:$AE$6608,"No Encontrado",0)</f>
        <v>01 - RENOVADA</v>
      </c>
      <c r="F202" s="4" t="str">
        <f>IF(E202&lt;&gt;"",_xlfn.XLOOKUP(G202,pivot!$B$1:$B$34,pivot!$A$1:$A$34,"",0),"")</f>
        <v/>
      </c>
      <c r="G202" t="s">
        <v>7</v>
      </c>
      <c r="H202" t="s">
        <v>373</v>
      </c>
      <c r="M202" s="4">
        <f t="shared" si="3"/>
        <v>6</v>
      </c>
    </row>
    <row r="203" spans="1:13" hidden="1" x14ac:dyDescent="0.25">
      <c r="A203" t="s">
        <v>199</v>
      </c>
      <c r="B203" s="6">
        <v>101890</v>
      </c>
      <c r="C203" s="4" t="str">
        <f>_xlfn.XLOOKUP(B203,[1]ReportePolizaPorFiltroArribas!$G$1:$G$3955,[1]ReportePolizaPorFiltroArribas!$O$1:$O$3955,"No Encontrado",0)</f>
        <v>2026-07</v>
      </c>
      <c r="D203" s="4" t="str">
        <f>_xlfn.XLOOKUP(B203,[2]Tablero!$AP$1:$AP$6608,[2]Tablero!$AE$1:$AE$6608,"No Encontrado",0)</f>
        <v>01 - RENOVADA</v>
      </c>
      <c r="F203" s="4" t="str">
        <f>IF(E203&lt;&gt;"",_xlfn.XLOOKUP(G203,pivot!$B$1:$B$34,pivot!$A$1:$A$34,"",0),"")</f>
        <v/>
      </c>
      <c r="G203" t="s">
        <v>14</v>
      </c>
      <c r="H203" t="s">
        <v>373</v>
      </c>
      <c r="M203" s="4">
        <f t="shared" si="3"/>
        <v>6</v>
      </c>
    </row>
    <row r="204" spans="1:13" hidden="1" x14ac:dyDescent="0.25">
      <c r="A204" t="s">
        <v>201</v>
      </c>
      <c r="B204" s="6">
        <v>75408</v>
      </c>
      <c r="C204" s="4" t="str">
        <f>_xlfn.XLOOKUP(B204,[1]ReportePolizaPorFiltroArribas!$G$1:$G$3955,[1]ReportePolizaPorFiltroArribas!$O$1:$O$3955,"No Encontrado",0)</f>
        <v>2026-01</v>
      </c>
      <c r="D204" s="4" t="str">
        <f>_xlfn.XLOOKUP(B204,[2]Tablero!$AP$1:$AP$6608,[2]Tablero!$AE$1:$AE$6608,"No Encontrado",0)</f>
        <v>01 - RENOVADA</v>
      </c>
      <c r="F204" s="4" t="str">
        <f>IF(E204&lt;&gt;"",_xlfn.XLOOKUP(G204,pivot!$B$1:$B$34,pivot!$A$1:$A$34,"",0),"")</f>
        <v/>
      </c>
      <c r="G204" t="s">
        <v>14</v>
      </c>
      <c r="H204" t="s">
        <v>457</v>
      </c>
      <c r="M204" s="4">
        <f t="shared" si="3"/>
        <v>6</v>
      </c>
    </row>
    <row r="205" spans="1:13" hidden="1" x14ac:dyDescent="0.25">
      <c r="A205" t="s">
        <v>202</v>
      </c>
      <c r="B205" s="6">
        <v>1483604</v>
      </c>
      <c r="C205" s="4" t="str">
        <f>_xlfn.XLOOKUP(B205,[1]ReportePolizaPorFiltroArribas!$G$1:$G$3955,[1]ReportePolizaPorFiltroArribas!$O$1:$O$3955,"No Encontrado",0)</f>
        <v>2026-01</v>
      </c>
      <c r="D205" s="4" t="str">
        <f>_xlfn.XLOOKUP(B205,[2]Tablero!$AP$1:$AP$6608,[2]Tablero!$AE$1:$AE$6608,"No Encontrado",0)</f>
        <v>01 - RENOVADA</v>
      </c>
      <c r="F205" s="4" t="str">
        <f>IF(E205&lt;&gt;"",_xlfn.XLOOKUP(G205,pivot!$B$1:$B$34,pivot!$A$1:$A$34,"",0),"")</f>
        <v/>
      </c>
      <c r="G205" t="s">
        <v>7</v>
      </c>
      <c r="H205" t="s">
        <v>457</v>
      </c>
      <c r="M205" s="4">
        <f t="shared" si="3"/>
        <v>6</v>
      </c>
    </row>
    <row r="206" spans="1:13" hidden="1" x14ac:dyDescent="0.25">
      <c r="A206" t="s">
        <v>203</v>
      </c>
      <c r="B206" s="6">
        <v>51407</v>
      </c>
      <c r="C206" s="4" t="str">
        <f>_xlfn.XLOOKUP(B206,[1]ReportePolizaPorFiltroArribas!$G$1:$G$3955,[1]ReportePolizaPorFiltroArribas!$O$1:$O$3955,"No Encontrado",0)</f>
        <v>2026-02</v>
      </c>
      <c r="D206" s="4" t="str">
        <f>_xlfn.XLOOKUP(B206,[2]Tablero!$AP$1:$AP$6608,[2]Tablero!$AE$1:$AE$6608,"No Encontrado",0)</f>
        <v>01 - RENOVADA</v>
      </c>
      <c r="F206" s="4" t="str">
        <f>IF(E206&lt;&gt;"",_xlfn.XLOOKUP(G206,pivot!$B$1:$B$34,pivot!$A$1:$A$34,"",0),"")</f>
        <v/>
      </c>
      <c r="G206" t="s">
        <v>9</v>
      </c>
      <c r="H206" t="s">
        <v>457</v>
      </c>
      <c r="M206" s="4">
        <f t="shared" si="3"/>
        <v>6</v>
      </c>
    </row>
    <row r="207" spans="1:13" hidden="1" x14ac:dyDescent="0.25">
      <c r="A207" t="s">
        <v>204</v>
      </c>
      <c r="B207" s="6">
        <v>1525616</v>
      </c>
      <c r="C207" s="4" t="str">
        <f>_xlfn.XLOOKUP(B207,[1]ReportePolizaPorFiltroArribas!$G$1:$G$3955,[1]ReportePolizaPorFiltroArribas!$O$1:$O$3955,"No Encontrado",0)</f>
        <v>2026-04</v>
      </c>
      <c r="D207" s="4" t="str">
        <f>_xlfn.XLOOKUP(B207,[2]Tablero!$AP$1:$AP$6608,[2]Tablero!$AE$1:$AE$6608,"No Encontrado",0)</f>
        <v>01 - RENOVADA</v>
      </c>
      <c r="F207" s="4" t="str">
        <f>IF(E207&lt;&gt;"",_xlfn.XLOOKUP(G207,pivot!$B$1:$B$34,pivot!$A$1:$A$34,"",0),"")</f>
        <v/>
      </c>
      <c r="G207" t="s">
        <v>7</v>
      </c>
      <c r="H207" t="s">
        <v>457</v>
      </c>
      <c r="M207" s="4">
        <f t="shared" si="3"/>
        <v>6</v>
      </c>
    </row>
    <row r="208" spans="1:13" hidden="1" x14ac:dyDescent="0.25">
      <c r="A208" t="s">
        <v>205</v>
      </c>
      <c r="B208" s="6">
        <v>5264</v>
      </c>
      <c r="C208" s="4" t="str">
        <f>_xlfn.XLOOKUP(B208,[1]ReportePolizaPorFiltroArribas!$G$1:$G$3955,[1]ReportePolizaPorFiltroArribas!$O$1:$O$3955,"No Encontrado",0)</f>
        <v>2026-08</v>
      </c>
      <c r="D208" s="4" t="str">
        <f>_xlfn.XLOOKUP(B208,[2]Tablero!$AP$1:$AP$6608,[2]Tablero!$AE$1:$AE$6608,"No Encontrado",0)</f>
        <v>01 - RENOVADA</v>
      </c>
      <c r="F208" s="4" t="str">
        <f>IF(E208&lt;&gt;"",_xlfn.XLOOKUP(G208,pivot!$B$1:$B$34,pivot!$A$1:$A$34,"",0),"")</f>
        <v/>
      </c>
      <c r="G208" t="s">
        <v>16</v>
      </c>
      <c r="H208" t="s">
        <v>457</v>
      </c>
      <c r="M208" s="4">
        <f t="shared" si="3"/>
        <v>6</v>
      </c>
    </row>
    <row r="209" spans="1:13" hidden="1" x14ac:dyDescent="0.25">
      <c r="A209" t="s">
        <v>84</v>
      </c>
      <c r="B209" s="6">
        <v>90574</v>
      </c>
      <c r="C209" s="4" t="str">
        <f>_xlfn.XLOOKUP(B209,[1]ReportePolizaPorFiltroArribas!$G$1:$G$3955,[1]ReportePolizaPorFiltroArribas!$O$1:$O$3955,"No Encontrado",0)</f>
        <v>2026-06</v>
      </c>
      <c r="D209" s="4" t="str">
        <f>_xlfn.XLOOKUP(B209,[2]Tablero!$AP$1:$AP$6608,[2]Tablero!$AE$1:$AE$6608,"No Encontrado",0)</f>
        <v>01 - RENOVADA</v>
      </c>
      <c r="E209" s="9"/>
      <c r="F209" s="4" t="str">
        <f>IF(E209&lt;&gt;"",_xlfn.XLOOKUP(G209,pivot!$B$1:$B$34,pivot!$A$1:$A$34,"",0),"")</f>
        <v/>
      </c>
      <c r="G209" t="s">
        <v>14</v>
      </c>
      <c r="H209" t="s">
        <v>457</v>
      </c>
      <c r="M209" s="4">
        <f t="shared" si="3"/>
        <v>6</v>
      </c>
    </row>
    <row r="210" spans="1:13" hidden="1" x14ac:dyDescent="0.25">
      <c r="A210" t="s">
        <v>200</v>
      </c>
      <c r="B210" s="6">
        <v>1578883</v>
      </c>
      <c r="C210" s="4" t="str">
        <f>_xlfn.XLOOKUP(B210,[1]ReportePolizaPorFiltroArribas!$G$1:$G$3955,[1]ReportePolizaPorFiltroArribas!$O$1:$O$3955,"No Encontrado",0)</f>
        <v>2026-10</v>
      </c>
      <c r="D210" s="4" t="str">
        <f>_xlfn.XLOOKUP(B210,[2]Tablero!$AP$1:$AP$6608,[2]Tablero!$AE$1:$AE$6608,"No Encontrado",0)</f>
        <v>01 - RENOVADA</v>
      </c>
      <c r="F210" s="4" t="str">
        <f>IF(E210&lt;&gt;"",_xlfn.XLOOKUP(G210,pivot!$B$1:$B$34,pivot!$A$1:$A$34,"",0),"")</f>
        <v/>
      </c>
      <c r="G210" t="s">
        <v>7</v>
      </c>
      <c r="H210" t="s">
        <v>457</v>
      </c>
      <c r="M210" s="4">
        <f t="shared" si="3"/>
        <v>6</v>
      </c>
    </row>
    <row r="211" spans="1:13" hidden="1" x14ac:dyDescent="0.25">
      <c r="A211" t="s">
        <v>200</v>
      </c>
      <c r="B211" s="6">
        <v>1579179</v>
      </c>
      <c r="C211" s="4" t="str">
        <f>_xlfn.XLOOKUP(B211,[1]ReportePolizaPorFiltroArribas!$G$1:$G$3955,[1]ReportePolizaPorFiltroArribas!$O$1:$O$3955,"No Encontrado",0)</f>
        <v>2026-10</v>
      </c>
      <c r="D211" s="4" t="str">
        <f>_xlfn.XLOOKUP(B211,[2]Tablero!$AP$1:$AP$6608,[2]Tablero!$AE$1:$AE$6608,"No Encontrado",0)</f>
        <v>01 - RENOVADA</v>
      </c>
      <c r="F211" s="4" t="str">
        <f>IF(E211&lt;&gt;"",_xlfn.XLOOKUP(G211,pivot!$B$1:$B$34,pivot!$A$1:$A$34,"",0),"")</f>
        <v/>
      </c>
      <c r="G211" t="s">
        <v>7</v>
      </c>
      <c r="H211" t="s">
        <v>457</v>
      </c>
      <c r="M211" s="4">
        <f t="shared" si="3"/>
        <v>6</v>
      </c>
    </row>
    <row r="212" spans="1:13" hidden="1" x14ac:dyDescent="0.25">
      <c r="A212" t="s">
        <v>173</v>
      </c>
      <c r="B212" s="6">
        <v>1279368</v>
      </c>
      <c r="C212" s="4" t="str">
        <f>_xlfn.XLOOKUP(B212,[1]ReportePolizaPorFiltroArribas!$G$1:$G$3955,[1]ReportePolizaPorFiltroArribas!$O$1:$O$3955,"No Encontrado",0)</f>
        <v>2026-09</v>
      </c>
      <c r="D212" s="4" t="str">
        <f>_xlfn.XLOOKUP(B212,[2]Tablero!$AP$1:$AP$6608,[2]Tablero!$AE$1:$AE$6608,"No Encontrado",0)</f>
        <v>01 - RENOVADA</v>
      </c>
      <c r="F212" s="4" t="str">
        <f>IF(E212&lt;&gt;"",_xlfn.XLOOKUP(G212,pivot!$B$1:$B$34,pivot!$A$1:$A$34,"",0),"")</f>
        <v/>
      </c>
      <c r="G212" t="s">
        <v>7</v>
      </c>
      <c r="H212" t="s">
        <v>457</v>
      </c>
      <c r="M212" s="4">
        <f t="shared" si="3"/>
        <v>6</v>
      </c>
    </row>
    <row r="213" spans="1:13" hidden="1" x14ac:dyDescent="0.25">
      <c r="A213" t="s">
        <v>206</v>
      </c>
      <c r="B213" s="6">
        <v>80745</v>
      </c>
      <c r="C213" s="4" t="str">
        <f>_xlfn.XLOOKUP(B213,[1]ReportePolizaPorFiltroArribas!$G$1:$G$3955,[1]ReportePolizaPorFiltroArribas!$O$1:$O$3955,"No Encontrado",0)</f>
        <v>2026-10</v>
      </c>
      <c r="D213" s="4" t="str">
        <f>_xlfn.XLOOKUP(B213,[2]Tablero!$AP$1:$AP$6608,[2]Tablero!$AE$1:$AE$6608,"No Encontrado",0)</f>
        <v>01 - RENOVADA</v>
      </c>
      <c r="F213" s="4" t="str">
        <f>IF(E213&lt;&gt;"",_xlfn.XLOOKUP(G213,pivot!$B$1:$B$34,pivot!$A$1:$A$34,"",0),"")</f>
        <v/>
      </c>
      <c r="G213" t="s">
        <v>14</v>
      </c>
      <c r="H213" t="s">
        <v>458</v>
      </c>
      <c r="M213" s="4">
        <f t="shared" si="3"/>
        <v>6</v>
      </c>
    </row>
    <row r="214" spans="1:13" hidden="1" x14ac:dyDescent="0.25">
      <c r="A214" t="s">
        <v>207</v>
      </c>
      <c r="B214" s="6">
        <v>80715</v>
      </c>
      <c r="C214" s="4" t="str">
        <f>_xlfn.XLOOKUP(B214,[1]ReportePolizaPorFiltroArribas!$G$1:$G$3955,[1]ReportePolizaPorFiltroArribas!$O$1:$O$3955,"No Encontrado",0)</f>
        <v>2026-10</v>
      </c>
      <c r="D214" s="4" t="str">
        <f>_xlfn.XLOOKUP(B214,[2]Tablero!$AP$1:$AP$6608,[2]Tablero!$AE$1:$AE$6608,"No Encontrado",0)</f>
        <v>01 - RENOVADA</v>
      </c>
      <c r="F214" s="4" t="str">
        <f>IF(E214&lt;&gt;"",_xlfn.XLOOKUP(G214,pivot!$B$1:$B$34,pivot!$A$1:$A$34,"",0),"")</f>
        <v/>
      </c>
      <c r="G214" s="6" t="s">
        <v>14</v>
      </c>
      <c r="H214" t="s">
        <v>458</v>
      </c>
      <c r="M214" s="4">
        <f t="shared" si="3"/>
        <v>6</v>
      </c>
    </row>
    <row r="215" spans="1:13" hidden="1" x14ac:dyDescent="0.25">
      <c r="A215" t="s">
        <v>208</v>
      </c>
      <c r="B215" s="6">
        <v>1414538</v>
      </c>
      <c r="C215" s="4" t="str">
        <f>_xlfn.XLOOKUP(B215,[1]ReportePolizaPorFiltroArribas!$G$1:$G$3955,[1]ReportePolizaPorFiltroArribas!$O$1:$O$3955,"No Encontrado",0)</f>
        <v>2026-04</v>
      </c>
      <c r="D215" s="4" t="str">
        <f>_xlfn.XLOOKUP(B215,[2]Tablero!$AP$1:$AP$6608,[2]Tablero!$AE$1:$AE$6608,"No Encontrado",0)</f>
        <v>01 - RENOVADA</v>
      </c>
      <c r="F215" s="4" t="str">
        <f>IF(E215&lt;&gt;"",_xlfn.XLOOKUP(G215,pivot!$B$1:$B$34,pivot!$A$1:$A$34,"",0),"")</f>
        <v/>
      </c>
      <c r="G215" t="s">
        <v>7</v>
      </c>
      <c r="H215" t="s">
        <v>459</v>
      </c>
      <c r="M215" s="4">
        <f t="shared" si="3"/>
        <v>6</v>
      </c>
    </row>
    <row r="216" spans="1:13" hidden="1" x14ac:dyDescent="0.25">
      <c r="A216" t="s">
        <v>209</v>
      </c>
      <c r="B216" s="6">
        <v>1514978</v>
      </c>
      <c r="C216" s="4" t="str">
        <f>_xlfn.XLOOKUP(B216,[1]ReportePolizaPorFiltroArribas!$G$1:$G$3955,[1]ReportePolizaPorFiltroArribas!$O$1:$O$3955,"No Encontrado",0)</f>
        <v>2026-04</v>
      </c>
      <c r="D216" s="4" t="str">
        <f>_xlfn.XLOOKUP(B216,[2]Tablero!$AP$1:$AP$6608,[2]Tablero!$AE$1:$AE$6608,"No Encontrado",0)</f>
        <v>01 - RENOVADA</v>
      </c>
      <c r="F216" s="4" t="str">
        <f>IF(E216&lt;&gt;"",_xlfn.XLOOKUP(G216,pivot!$B$1:$B$34,pivot!$A$1:$A$34,"",0),"")</f>
        <v/>
      </c>
      <c r="G216" t="s">
        <v>7</v>
      </c>
      <c r="H216" t="s">
        <v>459</v>
      </c>
      <c r="M216" s="4">
        <f t="shared" si="3"/>
        <v>6</v>
      </c>
    </row>
    <row r="217" spans="1:13" hidden="1" x14ac:dyDescent="0.25">
      <c r="A217" t="s">
        <v>210</v>
      </c>
      <c r="B217" s="6">
        <v>1426104</v>
      </c>
      <c r="C217" s="4" t="str">
        <f>_xlfn.XLOOKUP(B217,[1]ReportePolizaPorFiltroArribas!$G$1:$G$3955,[1]ReportePolizaPorFiltroArribas!$O$1:$O$3955,"No Encontrado",0)</f>
        <v>2026-05</v>
      </c>
      <c r="D217" s="4" t="str">
        <f>_xlfn.XLOOKUP(B217,[2]Tablero!$AP$1:$AP$6608,[2]Tablero!$AE$1:$AE$6608,"No Encontrado",0)</f>
        <v>01 - RENOVADA</v>
      </c>
      <c r="F217" s="4" t="str">
        <f>IF(E217&lt;&gt;"",_xlfn.XLOOKUP(G217,pivot!$B$1:$B$34,pivot!$A$1:$A$34,"",0),"")</f>
        <v/>
      </c>
      <c r="G217" t="s">
        <v>7</v>
      </c>
      <c r="H217" t="s">
        <v>459</v>
      </c>
      <c r="M217" s="4">
        <f t="shared" si="3"/>
        <v>6</v>
      </c>
    </row>
    <row r="218" spans="1:13" hidden="1" x14ac:dyDescent="0.25">
      <c r="A218" t="s">
        <v>211</v>
      </c>
      <c r="B218" s="6">
        <v>8855</v>
      </c>
      <c r="C218" s="4" t="str">
        <f>_xlfn.XLOOKUP(B218,[1]ReportePolizaPorFiltroArribas!$G$1:$G$3955,[1]ReportePolizaPorFiltroArribas!$O$1:$O$3955,"No Encontrado",0)</f>
        <v>2026-08</v>
      </c>
      <c r="D218" s="4" t="str">
        <f>_xlfn.XLOOKUP(B218,[2]Tablero!$AP$1:$AP$6608,[2]Tablero!$AE$1:$AE$6608,"No Encontrado",0)</f>
        <v>01 - RENOVADA</v>
      </c>
      <c r="F218" s="4" t="str">
        <f>IF(E218&lt;&gt;"",_xlfn.XLOOKUP(G218,pivot!$B$1:$B$34,pivot!$A$1:$A$34,"",0),"")</f>
        <v/>
      </c>
      <c r="G218" t="s">
        <v>17</v>
      </c>
      <c r="H218" t="s">
        <v>459</v>
      </c>
      <c r="M218" s="4">
        <f t="shared" si="3"/>
        <v>6</v>
      </c>
    </row>
    <row r="219" spans="1:13" hidden="1" x14ac:dyDescent="0.25">
      <c r="A219" t="s">
        <v>281</v>
      </c>
      <c r="B219" s="6">
        <v>15889</v>
      </c>
      <c r="C219" s="4" t="str">
        <f>_xlfn.XLOOKUP(B219,[1]ReportePolizaPorFiltroArribas!$G$1:$G$3955,[1]ReportePolizaPorFiltroArribas!$O$1:$O$3955,"No Encontrado",0)</f>
        <v>2026-09</v>
      </c>
      <c r="D219" s="4" t="str">
        <f>_xlfn.XLOOKUP(B219,[2]Tablero!$AP$1:$AP$6608,[2]Tablero!$AE$1:$AE$6608,"No Encontrado",0)</f>
        <v>01 - RENOVADA</v>
      </c>
      <c r="F219" s="4" t="str">
        <f>IF(E219&lt;&gt;"",_xlfn.XLOOKUP(G219,pivot!$B$1:$B$34,pivot!$A$1:$A$34,"",0),"")</f>
        <v/>
      </c>
      <c r="G219" t="s">
        <v>21</v>
      </c>
      <c r="H219" t="s">
        <v>459</v>
      </c>
      <c r="M219" s="4">
        <f t="shared" si="3"/>
        <v>6</v>
      </c>
    </row>
    <row r="220" spans="1:13" hidden="1" x14ac:dyDescent="0.25">
      <c r="A220" t="s">
        <v>281</v>
      </c>
      <c r="B220" s="6">
        <v>15888</v>
      </c>
      <c r="C220" s="4" t="str">
        <f>_xlfn.XLOOKUP(B220,[1]ReportePolizaPorFiltroArribas!$G$1:$G$3955,[1]ReportePolizaPorFiltroArribas!$O$1:$O$3955,"No Encontrado",0)</f>
        <v>2026-09</v>
      </c>
      <c r="D220" s="4" t="str">
        <f>_xlfn.XLOOKUP(B220,[2]Tablero!$AP$1:$AP$6608,[2]Tablero!$AE$1:$AE$6608,"No Encontrado",0)</f>
        <v>01 - RENOVADA</v>
      </c>
      <c r="F220" s="4" t="str">
        <f>IF(E220&lt;&gt;"",_xlfn.XLOOKUP(G220,pivot!$B$1:$B$34,pivot!$A$1:$A$34,"",0),"")</f>
        <v/>
      </c>
      <c r="G220" t="s">
        <v>21</v>
      </c>
      <c r="H220" t="s">
        <v>459</v>
      </c>
      <c r="M220" s="4">
        <f t="shared" si="3"/>
        <v>6</v>
      </c>
    </row>
    <row r="221" spans="1:13" hidden="1" x14ac:dyDescent="0.25">
      <c r="A221" t="s">
        <v>281</v>
      </c>
      <c r="B221" s="6">
        <v>15890</v>
      </c>
      <c r="C221" s="4" t="str">
        <f>_xlfn.XLOOKUP(B221,[1]ReportePolizaPorFiltroArribas!$G$1:$G$3955,[1]ReportePolizaPorFiltroArribas!$O$1:$O$3955,"No Encontrado",0)</f>
        <v>2026-09</v>
      </c>
      <c r="D221" s="4" t="str">
        <f>_xlfn.XLOOKUP(B221,[2]Tablero!$AP$1:$AP$6608,[2]Tablero!$AE$1:$AE$6608,"No Encontrado",0)</f>
        <v>01 - RENOVADA</v>
      </c>
      <c r="F221" s="4" t="str">
        <f>IF(E221&lt;&gt;"",_xlfn.XLOOKUP(G221,pivot!$B$1:$B$34,pivot!$A$1:$A$34,"",0),"")</f>
        <v/>
      </c>
      <c r="G221" t="s">
        <v>21</v>
      </c>
      <c r="H221" t="s">
        <v>459</v>
      </c>
      <c r="M221" s="4">
        <f t="shared" si="3"/>
        <v>6</v>
      </c>
    </row>
    <row r="222" spans="1:13" hidden="1" x14ac:dyDescent="0.25">
      <c r="A222" t="s">
        <v>444</v>
      </c>
      <c r="B222" s="6">
        <v>1300363638</v>
      </c>
      <c r="C222" s="4" t="str">
        <f>_xlfn.XLOOKUP(B222,[1]ReportePolizaPorFiltroArribas!$G$1:$G$3955,[1]ReportePolizaPorFiltroArribas!$O$1:$O$3955,"No Encontrado",0)</f>
        <v>2025-12</v>
      </c>
      <c r="D222" s="4" t="str">
        <f>_xlfn.XLOOKUP(B222,[2]Tablero!$AP$1:$AP$6608,[2]Tablero!$AE$1:$AE$6608,"No Encontrado",0)</f>
        <v>03 - PENDIENTE</v>
      </c>
      <c r="F222" s="4" t="str">
        <f>IF(E222&lt;&gt;"",_xlfn.XLOOKUP(G222,pivot!$B$1:$B$34,pivot!$A$1:$A$34,"",0),"")</f>
        <v/>
      </c>
      <c r="G222" t="s">
        <v>10</v>
      </c>
      <c r="H222" t="s">
        <v>459</v>
      </c>
      <c r="M222" s="4">
        <f t="shared" si="3"/>
        <v>6</v>
      </c>
    </row>
    <row r="223" spans="1:13" hidden="1" x14ac:dyDescent="0.25">
      <c r="A223" t="s">
        <v>445</v>
      </c>
      <c r="B223" s="6">
        <v>1300363645</v>
      </c>
      <c r="C223" s="4" t="str">
        <f>_xlfn.XLOOKUP(B223,[1]ReportePolizaPorFiltroArribas!$G$1:$G$3955,[1]ReportePolizaPorFiltroArribas!$O$1:$O$3955,"No Encontrado",0)</f>
        <v>2025-12</v>
      </c>
      <c r="D223" s="4" t="str">
        <f>_xlfn.XLOOKUP(B223,[2]Tablero!$AP$1:$AP$6608,[2]Tablero!$AE$1:$AE$6608,"No Encontrado",0)</f>
        <v>03 - PENDIENTE</v>
      </c>
      <c r="E223" s="9"/>
      <c r="F223" s="4" t="str">
        <f>IF(E223&lt;&gt;"",_xlfn.XLOOKUP(G223,pivot!$B$1:$B$34,pivot!$A$1:$A$34,"",0),"")</f>
        <v/>
      </c>
      <c r="G223" t="s">
        <v>10</v>
      </c>
      <c r="H223" t="s">
        <v>459</v>
      </c>
      <c r="M223" s="4">
        <f t="shared" si="3"/>
        <v>6</v>
      </c>
    </row>
    <row r="224" spans="1:13" hidden="1" x14ac:dyDescent="0.25">
      <c r="A224" t="s">
        <v>446</v>
      </c>
      <c r="B224" s="6">
        <v>1300363649</v>
      </c>
      <c r="C224" s="4" t="str">
        <f>_xlfn.XLOOKUP(B224,[1]ReportePolizaPorFiltroArribas!$G$1:$G$3955,[1]ReportePolizaPorFiltroArribas!$O$1:$O$3955,"No Encontrado",0)</f>
        <v>2025-12</v>
      </c>
      <c r="D224" s="4" t="str">
        <f>_xlfn.XLOOKUP(B224,[2]Tablero!$AP$1:$AP$6608,[2]Tablero!$AE$1:$AE$6608,"No Encontrado",0)</f>
        <v>03 - PENDIENTE</v>
      </c>
      <c r="F224" s="4" t="str">
        <f>IF(E224&lt;&gt;"",_xlfn.XLOOKUP(G224,pivot!$B$1:$B$34,pivot!$A$1:$A$34,"",0),"")</f>
        <v/>
      </c>
      <c r="G224" t="s">
        <v>10</v>
      </c>
      <c r="H224" t="s">
        <v>459</v>
      </c>
      <c r="M224" s="4">
        <f t="shared" si="3"/>
        <v>6</v>
      </c>
    </row>
    <row r="225" spans="1:13" hidden="1" x14ac:dyDescent="0.25">
      <c r="A225" t="s">
        <v>377</v>
      </c>
      <c r="B225" s="16">
        <v>1300363664</v>
      </c>
      <c r="C225" s="4" t="str">
        <f>_xlfn.XLOOKUP(B225,[1]ReportePolizaPorFiltroArribas!$G$1:$G$3955,[1]ReportePolizaPorFiltroArribas!$O$1:$O$3955,"No Encontrado",0)</f>
        <v>2025-12</v>
      </c>
      <c r="D225" s="4" t="str">
        <f>_xlfn.XLOOKUP(B225,[2]Tablero!$AP$1:$AP$6608,[2]Tablero!$AE$1:$AE$6608,"No Encontrado",0)</f>
        <v>03 - PENDIENTE</v>
      </c>
      <c r="F225" s="4" t="str">
        <f>IF(E225&lt;&gt;"",_xlfn.XLOOKUP(G225,pivot!$B$1:$B$34,pivot!$A$1:$A$34,"",0),"")</f>
        <v/>
      </c>
      <c r="G225" s="6" t="s">
        <v>10</v>
      </c>
      <c r="H225" t="s">
        <v>459</v>
      </c>
      <c r="M225" s="4">
        <f t="shared" si="3"/>
        <v>6</v>
      </c>
    </row>
    <row r="226" spans="1:13" hidden="1" x14ac:dyDescent="0.25">
      <c r="A226" t="s">
        <v>447</v>
      </c>
      <c r="B226" s="6">
        <v>1300363668</v>
      </c>
      <c r="C226" s="4" t="str">
        <f>_xlfn.XLOOKUP(B226,[1]ReportePolizaPorFiltroArribas!$G$1:$G$3955,[1]ReportePolizaPorFiltroArribas!$O$1:$O$3955,"No Encontrado",0)</f>
        <v>2025-12</v>
      </c>
      <c r="D226" s="4" t="str">
        <f>_xlfn.XLOOKUP(B226,[2]Tablero!$AP$1:$AP$6608,[2]Tablero!$AE$1:$AE$6608,"No Encontrado",0)</f>
        <v>03 - PENDIENTE</v>
      </c>
      <c r="F226" s="4" t="str">
        <f>IF(E226&lt;&gt;"",_xlfn.XLOOKUP(G226,pivot!$B$1:$B$34,pivot!$A$1:$A$34,"",0),"")</f>
        <v/>
      </c>
      <c r="G226" t="s">
        <v>10</v>
      </c>
      <c r="H226" t="s">
        <v>459</v>
      </c>
      <c r="M226" s="4">
        <f t="shared" si="3"/>
        <v>6</v>
      </c>
    </row>
    <row r="227" spans="1:13" hidden="1" x14ac:dyDescent="0.25">
      <c r="A227" t="s">
        <v>428</v>
      </c>
      <c r="B227" s="6">
        <v>1573588</v>
      </c>
      <c r="C227" s="4" t="str">
        <f>_xlfn.XLOOKUP(B227,[1]ReportePolizaPorFiltroArribas!$G$1:$G$3955,[1]ReportePolizaPorFiltroArribas!$O$1:$O$3955,"No Encontrado",0)</f>
        <v>2026-10</v>
      </c>
      <c r="D227" s="4" t="str">
        <f>_xlfn.XLOOKUP(B227,[2]Tablero!$AP$1:$AP$6608,[2]Tablero!$AE$1:$AE$6608,"No Encontrado",0)</f>
        <v>01 - RENOVADA</v>
      </c>
      <c r="F227" s="4" t="str">
        <f>IF(E227&lt;&gt;"",_xlfn.XLOOKUP(G227,pivot!$B$1:$B$34,pivot!$A$1:$A$34,"",0),"")</f>
        <v/>
      </c>
      <c r="G227" t="s">
        <v>7</v>
      </c>
      <c r="H227" t="s">
        <v>349</v>
      </c>
      <c r="M227" s="4">
        <f t="shared" si="3"/>
        <v>6</v>
      </c>
    </row>
    <row r="228" spans="1:13" hidden="1" x14ac:dyDescent="0.25">
      <c r="A228" t="s">
        <v>429</v>
      </c>
      <c r="B228" s="6">
        <v>605841</v>
      </c>
      <c r="C228" s="4" t="str">
        <f>_xlfn.XLOOKUP(B228,[1]ReportePolizaPorFiltroArribas!$G$1:$G$3955,[1]ReportePolizaPorFiltroArribas!$O$1:$O$3955,"No Encontrado",0)</f>
        <v>2026-10</v>
      </c>
      <c r="D228" s="4" t="str">
        <f>_xlfn.XLOOKUP(B228,[2]Tablero!$AP$1:$AP$6608,[2]Tablero!$AE$1:$AE$6608,"No Encontrado",0)</f>
        <v>01 - RENOVADA</v>
      </c>
      <c r="F228" s="4" t="str">
        <f>IF(E228&lt;&gt;"",_xlfn.XLOOKUP(G228,pivot!$B$1:$B$34,pivot!$A$1:$A$34,"",0),"")</f>
        <v/>
      </c>
      <c r="G228" t="s">
        <v>12</v>
      </c>
      <c r="H228" t="s">
        <v>349</v>
      </c>
      <c r="M228" s="4">
        <f t="shared" si="3"/>
        <v>6</v>
      </c>
    </row>
    <row r="229" spans="1:13" hidden="1" x14ac:dyDescent="0.25">
      <c r="A229" t="s">
        <v>115</v>
      </c>
      <c r="B229" s="6">
        <v>52231</v>
      </c>
      <c r="C229" s="4" t="str">
        <f>_xlfn.XLOOKUP(B229,[1]ReportePolizaPorFiltroArribas!$G$1:$G$3955,[1]ReportePolizaPorFiltroArribas!$O$1:$O$3955,"No Encontrado",0)</f>
        <v>2026-09</v>
      </c>
      <c r="D229" s="4" t="str">
        <f>_xlfn.XLOOKUP(B229,[2]Tablero!$AP$1:$AP$6608,[2]Tablero!$AE$1:$AE$6608,"No Encontrado",0)</f>
        <v>01 - RENOVADA</v>
      </c>
      <c r="F229" s="4" t="str">
        <f>IF(E229&lt;&gt;"",_xlfn.XLOOKUP(G229,pivot!$B$1:$B$34,pivot!$A$1:$A$34,"",0),"")</f>
        <v/>
      </c>
      <c r="G229" t="s">
        <v>9</v>
      </c>
      <c r="H229" t="s">
        <v>349</v>
      </c>
      <c r="M229" s="4">
        <f t="shared" si="3"/>
        <v>6</v>
      </c>
    </row>
    <row r="230" spans="1:13" hidden="1" x14ac:dyDescent="0.25">
      <c r="A230" t="s">
        <v>115</v>
      </c>
      <c r="B230" s="6">
        <v>52226</v>
      </c>
      <c r="C230" s="4" t="str">
        <f>_xlfn.XLOOKUP(B230,[1]ReportePolizaPorFiltroArribas!$G$1:$G$3955,[1]ReportePolizaPorFiltroArribas!$O$1:$O$3955,"No Encontrado",0)</f>
        <v>2026-10</v>
      </c>
      <c r="D230" s="4" t="str">
        <f>_xlfn.XLOOKUP(B230,[2]Tablero!$AP$1:$AP$6608,[2]Tablero!$AE$1:$AE$6608,"No Encontrado",0)</f>
        <v>01 - RENOVADA</v>
      </c>
      <c r="F230" s="4" t="str">
        <f>IF(E230&lt;&gt;"",_xlfn.XLOOKUP(G230,pivot!$B$1:$B$34,pivot!$A$1:$A$34,"",0),"")</f>
        <v/>
      </c>
      <c r="G230" t="s">
        <v>9</v>
      </c>
      <c r="H230" t="s">
        <v>349</v>
      </c>
      <c r="M230" s="4">
        <f t="shared" si="3"/>
        <v>6</v>
      </c>
    </row>
    <row r="231" spans="1:13" hidden="1" x14ac:dyDescent="0.25">
      <c r="A231" t="s">
        <v>115</v>
      </c>
      <c r="B231" s="6">
        <v>54307</v>
      </c>
      <c r="C231" s="4" t="str">
        <f>_xlfn.XLOOKUP(B231,[1]ReportePolizaPorFiltroArribas!$G$1:$G$3955,[1]ReportePolizaPorFiltroArribas!$O$1:$O$3955,"No Encontrado",0)</f>
        <v>2026-09</v>
      </c>
      <c r="D231" s="4" t="str">
        <f>_xlfn.XLOOKUP(B231,[2]Tablero!$AP$1:$AP$6608,[2]Tablero!$AE$1:$AE$6608,"No Encontrado",0)</f>
        <v>01 - RENOVADA</v>
      </c>
      <c r="F231" s="4" t="str">
        <f>IF(E231&lt;&gt;"",_xlfn.XLOOKUP(G231,pivot!$B$1:$B$34,pivot!$A$1:$A$34,"",0),"")</f>
        <v/>
      </c>
      <c r="G231" t="s">
        <v>9</v>
      </c>
      <c r="H231" t="s">
        <v>349</v>
      </c>
      <c r="M231" s="4">
        <f t="shared" si="3"/>
        <v>6</v>
      </c>
    </row>
    <row r="232" spans="1:13" hidden="1" x14ac:dyDescent="0.25">
      <c r="A232" t="s">
        <v>115</v>
      </c>
      <c r="B232" s="6">
        <v>54305</v>
      </c>
      <c r="C232" s="4" t="str">
        <f>_xlfn.XLOOKUP(B232,[1]ReportePolizaPorFiltroArribas!$G$1:$G$3955,[1]ReportePolizaPorFiltroArribas!$O$1:$O$3955,"No Encontrado",0)</f>
        <v>2026-09</v>
      </c>
      <c r="D232" s="4" t="str">
        <f>_xlfn.XLOOKUP(B232,[2]Tablero!$AP$1:$AP$6608,[2]Tablero!$AE$1:$AE$6608,"No Encontrado",0)</f>
        <v>01 - RENOVADA</v>
      </c>
      <c r="F232" s="4" t="str">
        <f>IF(E232&lt;&gt;"",_xlfn.XLOOKUP(G232,pivot!$B$1:$B$34,pivot!$A$1:$A$34,"",0),"")</f>
        <v/>
      </c>
      <c r="G232" t="s">
        <v>9</v>
      </c>
      <c r="H232" t="s">
        <v>349</v>
      </c>
      <c r="M232" s="4">
        <f t="shared" si="3"/>
        <v>6</v>
      </c>
    </row>
    <row r="233" spans="1:13" hidden="1" x14ac:dyDescent="0.25">
      <c r="A233" t="s">
        <v>115</v>
      </c>
      <c r="B233" s="6">
        <v>54317</v>
      </c>
      <c r="C233" s="4" t="str">
        <f>_xlfn.XLOOKUP(B233,[1]ReportePolizaPorFiltroArribas!$G$1:$G$3955,[1]ReportePolizaPorFiltroArribas!$O$1:$O$3955,"No Encontrado",0)</f>
        <v>2026-09</v>
      </c>
      <c r="D233" s="4" t="str">
        <f>_xlfn.XLOOKUP(B233,[2]Tablero!$AP$1:$AP$6608,[2]Tablero!$AE$1:$AE$6608,"No Encontrado",0)</f>
        <v>01 - RENOVADA</v>
      </c>
      <c r="F233" s="4" t="str">
        <f>IF(E233&lt;&gt;"",_xlfn.XLOOKUP(G233,pivot!$B$1:$B$34,pivot!$A$1:$A$34,"",0),"")</f>
        <v/>
      </c>
      <c r="G233" t="s">
        <v>9</v>
      </c>
      <c r="H233" t="s">
        <v>349</v>
      </c>
      <c r="M233" s="4">
        <f t="shared" si="3"/>
        <v>6</v>
      </c>
    </row>
    <row r="234" spans="1:13" hidden="1" x14ac:dyDescent="0.25">
      <c r="A234" t="s">
        <v>115</v>
      </c>
      <c r="B234" s="6">
        <v>52285</v>
      </c>
      <c r="C234" s="4" t="str">
        <f>_xlfn.XLOOKUP(B234,[1]ReportePolizaPorFiltroArribas!$G$1:$G$3955,[1]ReportePolizaPorFiltroArribas!$O$1:$O$3955,"No Encontrado",0)</f>
        <v>2026-09</v>
      </c>
      <c r="D234" s="4" t="str">
        <f>_xlfn.XLOOKUP(B234,[2]Tablero!$AP$1:$AP$6608,[2]Tablero!$AE$1:$AE$6608,"No Encontrado",0)</f>
        <v>01 - RENOVADA</v>
      </c>
      <c r="F234" s="4" t="str">
        <f>IF(E234&lt;&gt;"",_xlfn.XLOOKUP(G234,pivot!$B$1:$B$34,pivot!$A$1:$A$34,"",0),"")</f>
        <v/>
      </c>
      <c r="G234" s="6" t="s">
        <v>9</v>
      </c>
      <c r="H234" t="s">
        <v>349</v>
      </c>
      <c r="M234" s="4">
        <f t="shared" si="3"/>
        <v>6</v>
      </c>
    </row>
    <row r="235" spans="1:13" hidden="1" x14ac:dyDescent="0.25">
      <c r="A235" t="s">
        <v>115</v>
      </c>
      <c r="B235" s="6">
        <v>54293</v>
      </c>
      <c r="C235" s="4" t="str">
        <f>_xlfn.XLOOKUP(B235,[1]ReportePolizaPorFiltroArribas!$G$1:$G$3955,[1]ReportePolizaPorFiltroArribas!$O$1:$O$3955,"No Encontrado",0)</f>
        <v>2026-09</v>
      </c>
      <c r="D235" s="4" t="str">
        <f>_xlfn.XLOOKUP(B235,[2]Tablero!$AP$1:$AP$6608,[2]Tablero!$AE$1:$AE$6608,"No Encontrado",0)</f>
        <v>01 - RENOVADA</v>
      </c>
      <c r="F235" s="4" t="str">
        <f>IF(E235&lt;&gt;"",_xlfn.XLOOKUP(G235,pivot!$B$1:$B$34,pivot!$A$1:$A$34,"",0),"")</f>
        <v/>
      </c>
      <c r="G235" t="s">
        <v>9</v>
      </c>
      <c r="H235" t="s">
        <v>349</v>
      </c>
      <c r="M235" s="4">
        <f t="shared" si="3"/>
        <v>6</v>
      </c>
    </row>
    <row r="236" spans="1:13" hidden="1" x14ac:dyDescent="0.25">
      <c r="A236" t="s">
        <v>115</v>
      </c>
      <c r="B236" s="6">
        <v>54610</v>
      </c>
      <c r="C236" s="4" t="str">
        <f>_xlfn.XLOOKUP(B236,[1]ReportePolizaPorFiltroArribas!$G$1:$G$3955,[1]ReportePolizaPorFiltroArribas!$O$1:$O$3955,"No Encontrado",0)</f>
        <v>2026-10</v>
      </c>
      <c r="D236" s="4" t="str">
        <f>_xlfn.XLOOKUP(B236,[2]Tablero!$AP$1:$AP$6608,[2]Tablero!$AE$1:$AE$6608,"No Encontrado",0)</f>
        <v>No Encontrado</v>
      </c>
      <c r="F236" s="4" t="str">
        <f>IF(E236&lt;&gt;"",_xlfn.XLOOKUP(G236,pivot!$B$1:$B$34,pivot!$A$1:$A$34,"",0),"")</f>
        <v/>
      </c>
      <c r="G236" t="s">
        <v>9</v>
      </c>
      <c r="H236" t="s">
        <v>349</v>
      </c>
      <c r="M236" s="4">
        <f t="shared" si="3"/>
        <v>6</v>
      </c>
    </row>
    <row r="237" spans="1:13" hidden="1" x14ac:dyDescent="0.25">
      <c r="A237" t="s">
        <v>115</v>
      </c>
      <c r="B237" s="6">
        <v>54626</v>
      </c>
      <c r="C237" s="4" t="str">
        <f>_xlfn.XLOOKUP(B237,[1]ReportePolizaPorFiltroArribas!$G$1:$G$3955,[1]ReportePolizaPorFiltroArribas!$O$1:$O$3955,"No Encontrado",0)</f>
        <v>2026-09</v>
      </c>
      <c r="D237" s="4" t="str">
        <f>_xlfn.XLOOKUP(B237,[2]Tablero!$AP$1:$AP$6608,[2]Tablero!$AE$1:$AE$6608,"No Encontrado",0)</f>
        <v>No Encontrado</v>
      </c>
      <c r="F237" s="4" t="str">
        <f>IF(E237&lt;&gt;"",_xlfn.XLOOKUP(G237,pivot!$B$1:$B$34,pivot!$A$1:$A$34,"",0),"")</f>
        <v/>
      </c>
      <c r="G237" s="6" t="s">
        <v>9</v>
      </c>
      <c r="H237" t="s">
        <v>349</v>
      </c>
      <c r="M237" s="4">
        <f t="shared" si="3"/>
        <v>6</v>
      </c>
    </row>
    <row r="238" spans="1:13" hidden="1" x14ac:dyDescent="0.25">
      <c r="A238" t="s">
        <v>469</v>
      </c>
      <c r="B238" s="6">
        <v>48486</v>
      </c>
      <c r="C238" s="4" t="str">
        <f>_xlfn.XLOOKUP(B238,[1]ReportePolizaPorFiltroArribas!$G$1:$G$3955,[1]ReportePolizaPorFiltroArribas!$O$1:$O$3955,"No Encontrado",0)</f>
        <v>2026-02</v>
      </c>
      <c r="D238" s="4" t="str">
        <f>_xlfn.XLOOKUP(B238,[2]Tablero!$AP$1:$AP$6608,[2]Tablero!$AE$1:$AE$6608,"No Encontrado",0)</f>
        <v>03 - PENDIENTE</v>
      </c>
      <c r="F238" s="4" t="str">
        <f>IF(E238&lt;&gt;"",_xlfn.XLOOKUP(G238,pivot!$B$1:$B$34,pivot!$A$1:$A$34,"",0),"")</f>
        <v/>
      </c>
      <c r="G238" t="s">
        <v>11</v>
      </c>
      <c r="H238" t="s">
        <v>349</v>
      </c>
      <c r="M238" s="4">
        <f t="shared" si="3"/>
        <v>6</v>
      </c>
    </row>
    <row r="239" spans="1:13" hidden="1" x14ac:dyDescent="0.25">
      <c r="A239" t="s">
        <v>87</v>
      </c>
      <c r="B239" s="6">
        <v>47194</v>
      </c>
      <c r="C239" s="4" t="str">
        <f>_xlfn.XLOOKUP(B239,[1]ReportePolizaPorFiltroArribas!$G$1:$G$3955,[1]ReportePolizaPorFiltroArribas!$O$1:$O$3955,"No Encontrado",0)</f>
        <v>2026-02</v>
      </c>
      <c r="D239" s="4" t="str">
        <f>_xlfn.XLOOKUP(B239,[2]Tablero!$AP$1:$AP$6608,[2]Tablero!$AE$1:$AE$6608,"No Encontrado",0)</f>
        <v>02 - EN PROCESO</v>
      </c>
      <c r="F239" s="4" t="str">
        <f>IF(E239&lt;&gt;"",_xlfn.XLOOKUP(G239,pivot!$B$1:$B$34,pivot!$A$1:$A$34,"",0),"")</f>
        <v/>
      </c>
      <c r="G239" t="s">
        <v>11</v>
      </c>
      <c r="H239" t="s">
        <v>349</v>
      </c>
      <c r="M239" s="4">
        <f t="shared" si="3"/>
        <v>6</v>
      </c>
    </row>
    <row r="240" spans="1:13" hidden="1" x14ac:dyDescent="0.25">
      <c r="A240" t="s">
        <v>75</v>
      </c>
      <c r="B240" s="6">
        <v>48316</v>
      </c>
      <c r="C240" s="4" t="str">
        <f>_xlfn.XLOOKUP(B240,[1]ReportePolizaPorFiltroArribas!$G$1:$G$3955,[1]ReportePolizaPorFiltroArribas!$O$1:$O$3955,"No Encontrado",0)</f>
        <v>2026-02</v>
      </c>
      <c r="D240" s="4" t="str">
        <f>_xlfn.XLOOKUP(B240,[2]Tablero!$AP$1:$AP$6608,[2]Tablero!$AE$1:$AE$6608,"No Encontrado",0)</f>
        <v>02 - EN PROCESO</v>
      </c>
      <c r="F240" s="4" t="str">
        <f>IF(E240&lt;&gt;"",_xlfn.XLOOKUP(G240,pivot!$B$1:$B$34,pivot!$A$1:$A$34,"",0),"")</f>
        <v/>
      </c>
      <c r="G240" s="6" t="s">
        <v>11</v>
      </c>
      <c r="H240" t="s">
        <v>349</v>
      </c>
      <c r="M240" s="4">
        <f t="shared" si="3"/>
        <v>6</v>
      </c>
    </row>
    <row r="241" spans="1:13" hidden="1" x14ac:dyDescent="0.25">
      <c r="A241" t="s">
        <v>242</v>
      </c>
      <c r="B241" s="6">
        <v>72116</v>
      </c>
      <c r="C241" s="4" t="str">
        <f>_xlfn.XLOOKUP(B241,[1]ReportePolizaPorFiltroArribas!$G$1:$G$3955,[1]ReportePolizaPorFiltroArribas!$O$1:$O$3955,"No Encontrado",0)</f>
        <v>2026-06</v>
      </c>
      <c r="D241" s="4" t="str">
        <f>_xlfn.XLOOKUP(B241,[2]Tablero!$AP$1:$AP$6608,[2]Tablero!$AE$1:$AE$6608,"No Encontrado",0)</f>
        <v>01 - RENOVADA</v>
      </c>
      <c r="F241" s="4" t="str">
        <f>IF(E241&lt;&gt;"",_xlfn.XLOOKUP(G241,pivot!$B$1:$B$34,pivot!$A$1:$A$34,"",0),"")</f>
        <v/>
      </c>
      <c r="G241" t="s">
        <v>14</v>
      </c>
      <c r="H241" t="s">
        <v>349</v>
      </c>
      <c r="M241" s="4">
        <f t="shared" si="3"/>
        <v>6</v>
      </c>
    </row>
    <row r="242" spans="1:13" hidden="1" x14ac:dyDescent="0.25">
      <c r="A242" t="s">
        <v>212</v>
      </c>
      <c r="B242" s="6">
        <v>1547983</v>
      </c>
      <c r="C242" s="4" t="str">
        <f>_xlfn.XLOOKUP(B242,[1]ReportePolizaPorFiltroArribas!$G$1:$G$3955,[1]ReportePolizaPorFiltroArribas!$O$1:$O$3955,"No Encontrado",0)</f>
        <v>2026-08</v>
      </c>
      <c r="D242" s="4" t="str">
        <f>_xlfn.XLOOKUP(B242,[2]Tablero!$AP$1:$AP$6608,[2]Tablero!$AE$1:$AE$6608,"No Encontrado",0)</f>
        <v>01 - RENOVADA</v>
      </c>
      <c r="F242" s="4" t="str">
        <f>IF(E242&lt;&gt;"",_xlfn.XLOOKUP(G242,pivot!$B$1:$B$34,pivot!$A$1:$A$34,"",0),"")</f>
        <v/>
      </c>
      <c r="G242" t="s">
        <v>7</v>
      </c>
      <c r="H242" t="s">
        <v>349</v>
      </c>
      <c r="M242" s="4">
        <f t="shared" si="3"/>
        <v>6</v>
      </c>
    </row>
    <row r="243" spans="1:13" hidden="1" x14ac:dyDescent="0.25">
      <c r="A243" t="s">
        <v>180</v>
      </c>
      <c r="B243" s="6">
        <v>40724</v>
      </c>
      <c r="C243" s="4" t="str">
        <f>_xlfn.XLOOKUP(B243,[1]ReportePolizaPorFiltroArribas!$G$1:$G$3955,[1]ReportePolizaPorFiltroArribas!$O$1:$O$3955,"No Encontrado",0)</f>
        <v>2025-12</v>
      </c>
      <c r="D243" s="4" t="str">
        <f>_xlfn.XLOOKUP(B243,[2]Tablero!$AP$1:$AP$6608,[2]Tablero!$AE$1:$AE$6608,"No Encontrado",0)</f>
        <v>03 - PENDIENTE</v>
      </c>
      <c r="F243" s="4" t="str">
        <f>IF(E243&lt;&gt;"",_xlfn.XLOOKUP(G243,pivot!$B$1:$B$34,pivot!$A$1:$A$34,"",0),"")</f>
        <v/>
      </c>
      <c r="G243" t="s">
        <v>9</v>
      </c>
      <c r="H243" t="s">
        <v>403</v>
      </c>
      <c r="M243" s="4">
        <f t="shared" si="3"/>
        <v>6</v>
      </c>
    </row>
    <row r="244" spans="1:13" hidden="1" x14ac:dyDescent="0.25">
      <c r="A244" t="s">
        <v>233</v>
      </c>
      <c r="B244" s="6">
        <v>74699</v>
      </c>
      <c r="C244" s="4" t="str">
        <f>_xlfn.XLOOKUP(B244,[1]ReportePolizaPorFiltroArribas!$G$1:$G$3955,[1]ReportePolizaPorFiltroArribas!$O$1:$O$3955,"No Encontrado",0)</f>
        <v>2025-12</v>
      </c>
      <c r="D244" s="4" t="str">
        <f>_xlfn.XLOOKUP(B244,[2]Tablero!$AP$1:$AP$6608,[2]Tablero!$AE$1:$AE$6608,"No Encontrado",0)</f>
        <v>03 - PENDIENTE</v>
      </c>
      <c r="F244" s="4" t="str">
        <f>IF(E244&lt;&gt;"",_xlfn.XLOOKUP(G244,pivot!$B$1:$B$34,pivot!$A$1:$A$34,"",0),"")</f>
        <v/>
      </c>
      <c r="G244" t="s">
        <v>14</v>
      </c>
      <c r="H244" t="s">
        <v>403</v>
      </c>
      <c r="M244" s="4">
        <f t="shared" si="3"/>
        <v>6</v>
      </c>
    </row>
    <row r="245" spans="1:13" hidden="1" x14ac:dyDescent="0.25">
      <c r="A245" t="s">
        <v>234</v>
      </c>
      <c r="B245" s="6">
        <v>41296</v>
      </c>
      <c r="C245" s="4" t="str">
        <f>_xlfn.XLOOKUP(B245,[1]ReportePolizaPorFiltroArribas!$G$1:$G$3955,[1]ReportePolizaPorFiltroArribas!$O$1:$O$3955,"No Encontrado",0)</f>
        <v>2026-02</v>
      </c>
      <c r="D245" s="4" t="str">
        <f>_xlfn.XLOOKUP(B245,[2]Tablero!$AP$1:$AP$6608,[2]Tablero!$AE$1:$AE$6608,"No Encontrado",0)</f>
        <v>01 - RENOVADA</v>
      </c>
      <c r="F245" s="4" t="str">
        <f>IF(E245&lt;&gt;"",_xlfn.XLOOKUP(G245,pivot!$B$1:$B$34,pivot!$A$1:$A$34,"",0),"")</f>
        <v/>
      </c>
      <c r="G245" t="s">
        <v>19</v>
      </c>
      <c r="H245" t="s">
        <v>403</v>
      </c>
      <c r="M245" s="4">
        <f t="shared" si="3"/>
        <v>6</v>
      </c>
    </row>
    <row r="246" spans="1:13" hidden="1" x14ac:dyDescent="0.25">
      <c r="A246" t="s">
        <v>235</v>
      </c>
      <c r="B246" s="6">
        <v>69741</v>
      </c>
      <c r="C246" s="4" t="str">
        <f>_xlfn.XLOOKUP(B246,[1]ReportePolizaPorFiltroArribas!$G$1:$G$3955,[1]ReportePolizaPorFiltroArribas!$O$1:$O$3955,"No Encontrado",0)</f>
        <v>2026-02</v>
      </c>
      <c r="D246" s="4" t="str">
        <f>_xlfn.XLOOKUP(B246,[2]Tablero!$AP$1:$AP$6608,[2]Tablero!$AE$1:$AE$6608,"No Encontrado",0)</f>
        <v>01 - RENOVADA</v>
      </c>
      <c r="F246" s="4" t="str">
        <f>IF(E246&lt;&gt;"",_xlfn.XLOOKUP(G246,pivot!$B$1:$B$34,pivot!$A$1:$A$34,"",0),"")</f>
        <v/>
      </c>
      <c r="G246" t="s">
        <v>14</v>
      </c>
      <c r="H246" t="s">
        <v>403</v>
      </c>
      <c r="M246" s="4">
        <f t="shared" si="3"/>
        <v>6</v>
      </c>
    </row>
    <row r="247" spans="1:13" hidden="1" x14ac:dyDescent="0.25">
      <c r="A247" t="s">
        <v>237</v>
      </c>
      <c r="B247" s="6">
        <v>76561</v>
      </c>
      <c r="C247" s="4" t="str">
        <f>_xlfn.XLOOKUP(B247,[1]ReportePolizaPorFiltroArribas!$G$1:$G$3955,[1]ReportePolizaPorFiltroArribas!$O$1:$O$3955,"No Encontrado",0)</f>
        <v>2026-04</v>
      </c>
      <c r="D247" s="4" t="str">
        <f>_xlfn.XLOOKUP(B247,[2]Tablero!$AP$1:$AP$6608,[2]Tablero!$AE$1:$AE$6608,"No Encontrado",0)</f>
        <v>01 - RENOVADA</v>
      </c>
      <c r="F247" s="4" t="str">
        <f>IF(E247&lt;&gt;"",_xlfn.XLOOKUP(G247,pivot!$B$1:$B$34,pivot!$A$1:$A$34,"",0),"")</f>
        <v/>
      </c>
      <c r="G247" t="s">
        <v>14</v>
      </c>
      <c r="H247" t="s">
        <v>403</v>
      </c>
      <c r="M247" s="4">
        <f t="shared" si="3"/>
        <v>6</v>
      </c>
    </row>
    <row r="248" spans="1:13" hidden="1" x14ac:dyDescent="0.25">
      <c r="A248" t="s">
        <v>238</v>
      </c>
      <c r="B248" s="6">
        <v>2780</v>
      </c>
      <c r="C248" s="4" t="str">
        <f>_xlfn.XLOOKUP(B248,[1]ReportePolizaPorFiltroArribas!$G$1:$G$3955,[1]ReportePolizaPorFiltroArribas!$O$1:$O$3955,"No Encontrado",0)</f>
        <v>2026-04</v>
      </c>
      <c r="D248" s="4" t="str">
        <f>_xlfn.XLOOKUP(B248,[2]Tablero!$AP$1:$AP$6608,[2]Tablero!$AE$1:$AE$6608,"No Encontrado",0)</f>
        <v>01 - RENOVADA</v>
      </c>
      <c r="F248" s="4" t="str">
        <f>IF(E248&lt;&gt;"",_xlfn.XLOOKUP(G248,pivot!$B$1:$B$34,pivot!$A$1:$A$34,"",0),"")</f>
        <v/>
      </c>
      <c r="G248" t="s">
        <v>20</v>
      </c>
      <c r="H248" t="s">
        <v>403</v>
      </c>
      <c r="M248" s="4">
        <f t="shared" si="3"/>
        <v>6</v>
      </c>
    </row>
    <row r="249" spans="1:13" hidden="1" x14ac:dyDescent="0.25">
      <c r="A249" t="s">
        <v>239</v>
      </c>
      <c r="B249" s="6">
        <v>1519922</v>
      </c>
      <c r="C249" s="4" t="str">
        <f>_xlfn.XLOOKUP(B249,[1]ReportePolizaPorFiltroArribas!$G$1:$G$3955,[1]ReportePolizaPorFiltroArribas!$O$1:$O$3955,"No Encontrado",0)</f>
        <v>2026-05</v>
      </c>
      <c r="D249" s="4" t="str">
        <f>_xlfn.XLOOKUP(B249,[2]Tablero!$AP$1:$AP$6608,[2]Tablero!$AE$1:$AE$6608,"No Encontrado",0)</f>
        <v>01 - RENOVADA</v>
      </c>
      <c r="F249" s="4" t="str">
        <f>IF(E249&lt;&gt;"",_xlfn.XLOOKUP(G249,pivot!$B$1:$B$34,pivot!$A$1:$A$34,"",0),"")</f>
        <v/>
      </c>
      <c r="G249" t="s">
        <v>7</v>
      </c>
      <c r="H249" t="s">
        <v>403</v>
      </c>
      <c r="M249" s="4">
        <f t="shared" si="3"/>
        <v>6</v>
      </c>
    </row>
    <row r="250" spans="1:13" hidden="1" x14ac:dyDescent="0.25">
      <c r="A250" t="s">
        <v>240</v>
      </c>
      <c r="B250" s="6">
        <v>13131</v>
      </c>
      <c r="C250" s="4" t="str">
        <f>_xlfn.XLOOKUP(B250,[1]ReportePolizaPorFiltroArribas!$G$1:$G$3955,[1]ReportePolizaPorFiltroArribas!$O$1:$O$3955,"No Encontrado",0)</f>
        <v>2026-02</v>
      </c>
      <c r="D250" s="4" t="str">
        <f>_xlfn.XLOOKUP(B250,[2]Tablero!$AP$1:$AP$6608,[2]Tablero!$AE$1:$AE$6608,"No Encontrado",0)</f>
        <v>01 - RENOVADA</v>
      </c>
      <c r="F250" s="4" t="str">
        <f>IF(E250&lt;&gt;"",_xlfn.XLOOKUP(G250,pivot!$B$1:$B$34,pivot!$A$1:$A$34,"",0),"")</f>
        <v/>
      </c>
      <c r="G250" t="s">
        <v>21</v>
      </c>
      <c r="H250" t="s">
        <v>403</v>
      </c>
      <c r="M250" s="4">
        <f t="shared" si="3"/>
        <v>6</v>
      </c>
    </row>
    <row r="251" spans="1:13" hidden="1" x14ac:dyDescent="0.25">
      <c r="A251" t="s">
        <v>243</v>
      </c>
      <c r="B251" s="6">
        <v>1414541</v>
      </c>
      <c r="C251" s="4" t="str">
        <f>_xlfn.XLOOKUP(B251,[1]ReportePolizaPorFiltroArribas!$G$1:$G$3955,[1]ReportePolizaPorFiltroArribas!$O$1:$O$3955,"No Encontrado",0)</f>
        <v>2026-06</v>
      </c>
      <c r="D251" s="4" t="str">
        <f>_xlfn.XLOOKUP(B251,[2]Tablero!$AP$1:$AP$6608,[2]Tablero!$AE$1:$AE$6608,"No Encontrado",0)</f>
        <v>01 - RENOVADA</v>
      </c>
      <c r="F251" s="4" t="str">
        <f>IF(E251&lt;&gt;"",_xlfn.XLOOKUP(G251,pivot!$B$1:$B$34,pivot!$A$1:$A$34,"",0),"")</f>
        <v/>
      </c>
      <c r="G251" t="s">
        <v>7</v>
      </c>
      <c r="H251" t="s">
        <v>403</v>
      </c>
      <c r="M251" s="4">
        <f t="shared" si="3"/>
        <v>6</v>
      </c>
    </row>
    <row r="252" spans="1:13" hidden="1" x14ac:dyDescent="0.25">
      <c r="A252" t="s">
        <v>244</v>
      </c>
      <c r="B252" s="6">
        <v>4011002161</v>
      </c>
      <c r="C252" s="4" t="str">
        <f>_xlfn.XLOOKUP(B252,[1]ReportePolizaPorFiltroArribas!$G$1:$G$3955,[1]ReportePolizaPorFiltroArribas!$O$1:$O$3955,"No Encontrado",0)</f>
        <v>2026-06</v>
      </c>
      <c r="D252" s="4" t="str">
        <f>_xlfn.XLOOKUP(B252,[2]Tablero!$AP$1:$AP$6608,[2]Tablero!$AE$1:$AE$6608,"No Encontrado",0)</f>
        <v>01 - RENOVADA</v>
      </c>
      <c r="F252" s="4" t="str">
        <f>IF(E252&lt;&gt;"",_xlfn.XLOOKUP(G252,pivot!$B$1:$B$34,pivot!$A$1:$A$34,"",0),"")</f>
        <v/>
      </c>
      <c r="G252" t="s">
        <v>9</v>
      </c>
      <c r="H252" t="s">
        <v>403</v>
      </c>
      <c r="M252" s="4">
        <f t="shared" si="3"/>
        <v>6</v>
      </c>
    </row>
    <row r="253" spans="1:13" hidden="1" x14ac:dyDescent="0.25">
      <c r="A253" t="s">
        <v>102</v>
      </c>
      <c r="B253" s="6">
        <v>79358</v>
      </c>
      <c r="C253" s="4" t="str">
        <f>_xlfn.XLOOKUP(B253,[1]ReportePolizaPorFiltroArribas!$G$1:$G$3955,[1]ReportePolizaPorFiltroArribas!$O$1:$O$3955,"No Encontrado",0)</f>
        <v>2026-07</v>
      </c>
      <c r="D253" s="4" t="str">
        <f>_xlfn.XLOOKUP(B253,[2]Tablero!$AP$1:$AP$6608,[2]Tablero!$AE$1:$AE$6608,"No Encontrado",0)</f>
        <v>01 - RENOVADA</v>
      </c>
      <c r="F253" s="4" t="str">
        <f>IF(E253&lt;&gt;"",_xlfn.XLOOKUP(G253,pivot!$B$1:$B$34,pivot!$A$1:$A$34,"",0),"")</f>
        <v/>
      </c>
      <c r="G253" t="s">
        <v>14</v>
      </c>
      <c r="H253" t="s">
        <v>403</v>
      </c>
      <c r="M253" s="4">
        <f t="shared" si="3"/>
        <v>6</v>
      </c>
    </row>
    <row r="254" spans="1:13" hidden="1" x14ac:dyDescent="0.25">
      <c r="A254" t="s">
        <v>103</v>
      </c>
      <c r="B254" s="6">
        <v>527422</v>
      </c>
      <c r="C254" s="4" t="str">
        <f>_xlfn.XLOOKUP(B254,[1]ReportePolizaPorFiltroArribas!$G$1:$G$3955,[1]ReportePolizaPorFiltroArribas!$O$1:$O$3955,"No Encontrado",0)</f>
        <v>2026-08</v>
      </c>
      <c r="D254" s="4" t="str">
        <f>_xlfn.XLOOKUP(B254,[2]Tablero!$AP$1:$AP$6608,[2]Tablero!$AE$1:$AE$6608,"No Encontrado",0)</f>
        <v>01 - RENOVADA</v>
      </c>
      <c r="F254" s="4" t="str">
        <f>IF(E254&lt;&gt;"",_xlfn.XLOOKUP(G254,pivot!$B$1:$B$34,pivot!$A$1:$A$34,"",0),"")</f>
        <v/>
      </c>
      <c r="G254" t="s">
        <v>15</v>
      </c>
      <c r="H254" t="s">
        <v>403</v>
      </c>
      <c r="M254" s="4">
        <f t="shared" si="3"/>
        <v>6</v>
      </c>
    </row>
    <row r="255" spans="1:13" hidden="1" x14ac:dyDescent="0.25">
      <c r="A255" t="s">
        <v>103</v>
      </c>
      <c r="B255" s="6">
        <v>511186</v>
      </c>
      <c r="C255" s="4" t="str">
        <f>_xlfn.XLOOKUP(B255,[1]ReportePolizaPorFiltroArribas!$G$1:$G$3955,[1]ReportePolizaPorFiltroArribas!$O$1:$O$3955,"No Encontrado",0)</f>
        <v>2026-08</v>
      </c>
      <c r="D255" s="4" t="str">
        <f>_xlfn.XLOOKUP(B255,[2]Tablero!$AP$1:$AP$6608,[2]Tablero!$AE$1:$AE$6608,"No Encontrado",0)</f>
        <v>01 - RENOVADA</v>
      </c>
      <c r="F255" s="4" t="str">
        <f>IF(E255&lt;&gt;"",_xlfn.XLOOKUP(G255,pivot!$B$1:$B$34,pivot!$A$1:$A$34,"",0),"")</f>
        <v/>
      </c>
      <c r="G255" t="s">
        <v>15</v>
      </c>
      <c r="H255" t="s">
        <v>403</v>
      </c>
      <c r="M255" s="4">
        <f t="shared" si="3"/>
        <v>6</v>
      </c>
    </row>
    <row r="256" spans="1:13" hidden="1" x14ac:dyDescent="0.25">
      <c r="A256" t="s">
        <v>103</v>
      </c>
      <c r="B256" s="6">
        <v>511187</v>
      </c>
      <c r="C256" s="4" t="str">
        <f>_xlfn.XLOOKUP(B256,[1]ReportePolizaPorFiltroArribas!$G$1:$G$3955,[1]ReportePolizaPorFiltroArribas!$O$1:$O$3955,"No Encontrado",0)</f>
        <v>2026-08</v>
      </c>
      <c r="D256" s="4" t="str">
        <f>_xlfn.XLOOKUP(B256,[2]Tablero!$AP$1:$AP$6608,[2]Tablero!$AE$1:$AE$6608,"No Encontrado",0)</f>
        <v>01 - RENOVADA</v>
      </c>
      <c r="F256" s="4" t="str">
        <f>IF(E256&lt;&gt;"",_xlfn.XLOOKUP(G256,pivot!$B$1:$B$34,pivot!$A$1:$A$34,"",0),"")</f>
        <v/>
      </c>
      <c r="G256" t="s">
        <v>15</v>
      </c>
      <c r="H256" t="s">
        <v>403</v>
      </c>
      <c r="M256" s="4">
        <f t="shared" si="3"/>
        <v>6</v>
      </c>
    </row>
    <row r="257" spans="1:13" hidden="1" x14ac:dyDescent="0.25">
      <c r="A257" t="s">
        <v>281</v>
      </c>
      <c r="B257" s="6">
        <v>15892</v>
      </c>
      <c r="C257" s="4" t="str">
        <f>_xlfn.XLOOKUP(B257,[1]ReportePolizaPorFiltroArribas!$G$1:$G$3955,[1]ReportePolizaPorFiltroArribas!$O$1:$O$3955,"No Encontrado",0)</f>
        <v>2026-09</v>
      </c>
      <c r="D257" s="4" t="str">
        <f>_xlfn.XLOOKUP(B257,[2]Tablero!$AP$1:$AP$6608,[2]Tablero!$AE$1:$AE$6608,"No Encontrado",0)</f>
        <v>01 - RENOVADA</v>
      </c>
      <c r="F257" s="4" t="str">
        <f>IF(E257&lt;&gt;"",_xlfn.XLOOKUP(G257,pivot!$B$1:$B$34,pivot!$A$1:$A$34,"",0),"")</f>
        <v/>
      </c>
      <c r="G257" t="s">
        <v>21</v>
      </c>
      <c r="H257" t="s">
        <v>403</v>
      </c>
      <c r="M257" s="4">
        <f t="shared" si="3"/>
        <v>6</v>
      </c>
    </row>
    <row r="258" spans="1:13" hidden="1" x14ac:dyDescent="0.25">
      <c r="A258" t="s">
        <v>246</v>
      </c>
      <c r="B258" s="6">
        <v>52205</v>
      </c>
      <c r="C258" s="4" t="str">
        <f>_xlfn.XLOOKUP(B258,[1]ReportePolizaPorFiltroArribas!$G$1:$G$3955,[1]ReportePolizaPorFiltroArribas!$O$1:$O$3955,"No Encontrado",0)</f>
        <v>2026-08</v>
      </c>
      <c r="D258" s="4" t="str">
        <f>_xlfn.XLOOKUP(B258,[2]Tablero!$AP$1:$AP$6608,[2]Tablero!$AE$1:$AE$6608,"No Encontrado",0)</f>
        <v>01 - RENOVADA</v>
      </c>
      <c r="F258" s="4" t="str">
        <f>IF(E258&lt;&gt;"",_xlfn.XLOOKUP(G258,pivot!$B$1:$B$34,pivot!$A$1:$A$34,"",0),"")</f>
        <v/>
      </c>
      <c r="G258" t="s">
        <v>9</v>
      </c>
      <c r="H258" t="s">
        <v>403</v>
      </c>
      <c r="M258" s="4">
        <f t="shared" si="3"/>
        <v>6</v>
      </c>
    </row>
    <row r="259" spans="1:13" hidden="1" x14ac:dyDescent="0.25">
      <c r="A259" t="s">
        <v>190</v>
      </c>
      <c r="B259" s="6">
        <v>38832</v>
      </c>
      <c r="C259" s="4" t="str">
        <f>_xlfn.XLOOKUP(B259,[1]ReportePolizaPorFiltroArribas!$G$1:$G$3955,[1]ReportePolizaPorFiltroArribas!$O$1:$O$3955,"No Encontrado",0)</f>
        <v>2026-09</v>
      </c>
      <c r="D259" s="4" t="str">
        <f>_xlfn.XLOOKUP(B259,[2]Tablero!$AP$1:$AP$6608,[2]Tablero!$AE$1:$AE$6608,"No Encontrado",0)</f>
        <v>01 - RENOVADA</v>
      </c>
      <c r="F259" s="4" t="str">
        <f>IF(E259&lt;&gt;"",_xlfn.XLOOKUP(G259,pivot!$B$1:$B$34,pivot!$A$1:$A$34,"",0),"")</f>
        <v/>
      </c>
      <c r="G259" t="s">
        <v>9</v>
      </c>
      <c r="H259" t="s">
        <v>403</v>
      </c>
      <c r="M259" s="4">
        <f t="shared" ref="M259:M322" si="4">IF(C259&lt;=TEXT(H259,"YYYY-MM"),2,6)</f>
        <v>6</v>
      </c>
    </row>
    <row r="260" spans="1:13" hidden="1" x14ac:dyDescent="0.25">
      <c r="A260" t="s">
        <v>352</v>
      </c>
      <c r="B260" s="6">
        <v>528419</v>
      </c>
      <c r="C260" s="4" t="str">
        <f>_xlfn.XLOOKUP(B260,[1]ReportePolizaPorFiltroArribas!$G$1:$G$3955,[1]ReportePolizaPorFiltroArribas!$O$1:$O$3955,"No Encontrado",0)</f>
        <v>2026-09</v>
      </c>
      <c r="D260" s="4" t="str">
        <f>_xlfn.XLOOKUP(B260,[2]Tablero!$AP$1:$AP$6608,[2]Tablero!$AE$1:$AE$6608,"No Encontrado",0)</f>
        <v>01 - RENOVADA</v>
      </c>
      <c r="F260" s="4" t="str">
        <f>IF(E260&lt;&gt;"",_xlfn.XLOOKUP(G260,pivot!$B$1:$B$34,pivot!$A$1:$A$34,"",0),"")</f>
        <v/>
      </c>
      <c r="G260" t="s">
        <v>15</v>
      </c>
      <c r="H260" t="s">
        <v>403</v>
      </c>
      <c r="M260" s="4">
        <f t="shared" si="4"/>
        <v>6</v>
      </c>
    </row>
    <row r="261" spans="1:13" hidden="1" x14ac:dyDescent="0.25">
      <c r="A261" t="s">
        <v>232</v>
      </c>
      <c r="B261" s="6">
        <v>8936</v>
      </c>
      <c r="C261" s="4" t="str">
        <f>_xlfn.XLOOKUP(B261,[1]ReportePolizaPorFiltroArribas!$G$1:$G$3955,[1]ReportePolizaPorFiltroArribas!$O$1:$O$3955,"No Encontrado",0)</f>
        <v>2026-10</v>
      </c>
      <c r="D261" s="4" t="str">
        <f>_xlfn.XLOOKUP(B261,[2]Tablero!$AP$1:$AP$6608,[2]Tablero!$AE$1:$AE$6608,"No Encontrado",0)</f>
        <v>01 - RENOVADA</v>
      </c>
      <c r="F261" s="4" t="str">
        <f>IF(E261&lt;&gt;"",_xlfn.XLOOKUP(G261,pivot!$B$1:$B$34,pivot!$A$1:$A$34,"",0),"")</f>
        <v/>
      </c>
      <c r="G261" t="s">
        <v>17</v>
      </c>
      <c r="H261" t="s">
        <v>403</v>
      </c>
      <c r="M261" s="4">
        <f t="shared" si="4"/>
        <v>6</v>
      </c>
    </row>
    <row r="262" spans="1:13" hidden="1" x14ac:dyDescent="0.25">
      <c r="A262" t="s">
        <v>394</v>
      </c>
      <c r="B262" s="6">
        <v>4012000431</v>
      </c>
      <c r="C262" s="4" t="str">
        <f>_xlfn.XLOOKUP(B262,[1]ReportePolizaPorFiltroArribas!$G$1:$G$3955,[1]ReportePolizaPorFiltroArribas!$O$1:$O$3955,"No Encontrado",0)</f>
        <v>2026-11</v>
      </c>
      <c r="D262" s="4" t="str">
        <f>_xlfn.XLOOKUP(B262,[2]Tablero!$AP$1:$AP$6608,[2]Tablero!$AE$1:$AE$6608,"No Encontrado",0)</f>
        <v>01 - RENOVADA</v>
      </c>
      <c r="F262" s="4" t="str">
        <f>IF(E262&lt;&gt;"",_xlfn.XLOOKUP(G262,pivot!$B$1:$B$34,pivot!$A$1:$A$34,"",0),"")</f>
        <v/>
      </c>
      <c r="G262" t="s">
        <v>19</v>
      </c>
      <c r="H262" t="s">
        <v>403</v>
      </c>
      <c r="M262" s="4">
        <f t="shared" si="4"/>
        <v>6</v>
      </c>
    </row>
    <row r="263" spans="1:13" hidden="1" x14ac:dyDescent="0.25">
      <c r="A263" t="s">
        <v>395</v>
      </c>
      <c r="B263" s="6">
        <v>68178</v>
      </c>
      <c r="C263" s="4" t="str">
        <f>_xlfn.XLOOKUP(B263,[1]ReportePolizaPorFiltroArribas!$G$1:$G$3955,[1]ReportePolizaPorFiltroArribas!$O$1:$O$3955,"No Encontrado",0)</f>
        <v>2026-11</v>
      </c>
      <c r="D263" s="4" t="str">
        <f>_xlfn.XLOOKUP(B263,[2]Tablero!$AP$1:$AP$6608,[2]Tablero!$AE$1:$AE$6608,"No Encontrado",0)</f>
        <v>01 - RENOVADA</v>
      </c>
      <c r="F263" s="4" t="str">
        <f>IF(E263&lt;&gt;"",_xlfn.XLOOKUP(G263,pivot!$B$1:$B$34,pivot!$A$1:$A$34,"",0),"")</f>
        <v/>
      </c>
      <c r="G263" t="s">
        <v>14</v>
      </c>
      <c r="H263" t="s">
        <v>403</v>
      </c>
      <c r="M263" s="4">
        <f t="shared" si="4"/>
        <v>6</v>
      </c>
    </row>
    <row r="264" spans="1:13" hidden="1" x14ac:dyDescent="0.25">
      <c r="A264" t="s">
        <v>231</v>
      </c>
      <c r="B264" s="6">
        <v>73745</v>
      </c>
      <c r="C264" s="4" t="str">
        <f>_xlfn.XLOOKUP(B264,[1]ReportePolizaPorFiltroArribas!$G$1:$G$3955,[1]ReportePolizaPorFiltroArribas!$O$1:$O$3955,"No Encontrado",0)</f>
        <v>2026-10</v>
      </c>
      <c r="D264" s="4" t="str">
        <f>_xlfn.XLOOKUP(B264,[2]Tablero!$AP$1:$AP$6608,[2]Tablero!$AE$1:$AE$6608,"No Encontrado",0)</f>
        <v>01 - RENOVADA</v>
      </c>
      <c r="F264" s="4" t="str">
        <f>IF(E264&lt;&gt;"",_xlfn.XLOOKUP(G264,pivot!$B$1:$B$34,pivot!$A$1:$A$34,"",0),"")</f>
        <v/>
      </c>
      <c r="G264" t="s">
        <v>14</v>
      </c>
      <c r="H264" t="s">
        <v>403</v>
      </c>
      <c r="M264" s="4">
        <f t="shared" si="4"/>
        <v>6</v>
      </c>
    </row>
    <row r="265" spans="1:13" hidden="1" x14ac:dyDescent="0.25">
      <c r="A265" t="s">
        <v>215</v>
      </c>
      <c r="B265" s="6">
        <v>40022</v>
      </c>
      <c r="C265" s="4" t="str">
        <f>_xlfn.XLOOKUP(B265,[1]ReportePolizaPorFiltroArribas!$G$1:$G$3955,[1]ReportePolizaPorFiltroArribas!$O$1:$O$3955,"No Encontrado",0)</f>
        <v>2026-09</v>
      </c>
      <c r="D265" s="4" t="str">
        <f>_xlfn.XLOOKUP(B265,[2]Tablero!$AP$1:$AP$6608,[2]Tablero!$AE$1:$AE$6608,"No Encontrado",0)</f>
        <v>01 - RENOVADA</v>
      </c>
      <c r="F265" s="4" t="str">
        <f>IF(E265&lt;&gt;"",_xlfn.XLOOKUP(G265,pivot!$B$1:$B$34,pivot!$A$1:$A$34,"",0),"")</f>
        <v/>
      </c>
      <c r="G265" s="6" t="s">
        <v>19</v>
      </c>
      <c r="H265" t="s">
        <v>403</v>
      </c>
      <c r="M265" s="4">
        <f t="shared" si="4"/>
        <v>6</v>
      </c>
    </row>
    <row r="266" spans="1:13" hidden="1" x14ac:dyDescent="0.25">
      <c r="A266" t="s">
        <v>301</v>
      </c>
      <c r="B266" s="6">
        <v>4004004291</v>
      </c>
      <c r="C266" s="4" t="str">
        <f>_xlfn.XLOOKUP(B266,[1]ReportePolizaPorFiltroArribas!$G$1:$G$3955,[1]ReportePolizaPorFiltroArribas!$O$1:$O$3955,"No Encontrado",0)</f>
        <v>2026-09</v>
      </c>
      <c r="D266" s="4" t="str">
        <f>_xlfn.XLOOKUP(B266,[2]Tablero!$AP$1:$AP$6608,[2]Tablero!$AE$1:$AE$6608,"No Encontrado",0)</f>
        <v>01 - RENOVADA</v>
      </c>
      <c r="F266" s="4" t="str">
        <f>IF(E266&lt;&gt;"",_xlfn.XLOOKUP(G266,pivot!$B$1:$B$34,pivot!$A$1:$A$34,"",0),"")</f>
        <v/>
      </c>
      <c r="G266" t="s">
        <v>14</v>
      </c>
      <c r="H266" t="s">
        <v>403</v>
      </c>
      <c r="M266" s="4">
        <f t="shared" si="4"/>
        <v>6</v>
      </c>
    </row>
    <row r="267" spans="1:13" hidden="1" x14ac:dyDescent="0.25">
      <c r="A267" t="s">
        <v>361</v>
      </c>
      <c r="B267" s="6">
        <v>1567343</v>
      </c>
      <c r="C267" s="4" t="str">
        <f>_xlfn.XLOOKUP(B267,[1]ReportePolizaPorFiltroArribas!$G$1:$G$3955,[1]ReportePolizaPorFiltroArribas!$O$1:$O$3955,"No Encontrado",0)</f>
        <v>2026-09</v>
      </c>
      <c r="D267" s="4" t="str">
        <f>_xlfn.XLOOKUP(B267,[2]Tablero!$AP$1:$AP$6608,[2]Tablero!$AE$1:$AE$6608,"No Encontrado",0)</f>
        <v>01 - RENOVADA</v>
      </c>
      <c r="F267" s="4" t="str">
        <f>IF(E267&lt;&gt;"",_xlfn.XLOOKUP(G267,pivot!$B$1:$B$34,pivot!$A$1:$A$34,"",0),"")</f>
        <v/>
      </c>
      <c r="G267" t="s">
        <v>7</v>
      </c>
      <c r="H267" t="s">
        <v>403</v>
      </c>
      <c r="M267" s="4">
        <f t="shared" si="4"/>
        <v>6</v>
      </c>
    </row>
    <row r="268" spans="1:13" hidden="1" x14ac:dyDescent="0.25">
      <c r="A268" t="s">
        <v>475</v>
      </c>
      <c r="B268" s="6">
        <v>510573</v>
      </c>
      <c r="C268" s="4" t="str">
        <f>_xlfn.XLOOKUP(B268,[1]ReportePolizaPorFiltroArribas!$G$1:$G$3955,[1]ReportePolizaPorFiltroArribas!$O$1:$O$3955,"No Encontrado",0)</f>
        <v>2026-11</v>
      </c>
      <c r="D268" s="4" t="str">
        <f>_xlfn.XLOOKUP(B268,[2]Tablero!$AP$1:$AP$6608,[2]Tablero!$AE$1:$AE$6608,"No Encontrado",0)</f>
        <v>01 - RENOVADA</v>
      </c>
      <c r="F268" s="4" t="str">
        <f>IF(E268&lt;&gt;"",_xlfn.XLOOKUP(G268,pivot!$B$1:$B$34,pivot!$A$1:$A$34,"",0),"")</f>
        <v/>
      </c>
      <c r="G268" t="s">
        <v>505</v>
      </c>
      <c r="H268" t="s">
        <v>403</v>
      </c>
      <c r="M268" s="4">
        <f t="shared" si="4"/>
        <v>6</v>
      </c>
    </row>
    <row r="269" spans="1:13" hidden="1" x14ac:dyDescent="0.25">
      <c r="A269" t="s">
        <v>410</v>
      </c>
      <c r="B269" s="6">
        <v>1574042</v>
      </c>
      <c r="C269" s="4" t="str">
        <f>_xlfn.XLOOKUP(B269,[1]ReportePolizaPorFiltroArribas!$G$1:$G$3955,[1]ReportePolizaPorFiltroArribas!$O$1:$O$3955,"No Encontrado",0)</f>
        <v>2026-10</v>
      </c>
      <c r="D269" s="4" t="str">
        <f>_xlfn.XLOOKUP(B269,[2]Tablero!$AP$1:$AP$6608,[2]Tablero!$AE$1:$AE$6608,"No Encontrado",0)</f>
        <v>01 - RENOVADA</v>
      </c>
      <c r="F269" s="4" t="str">
        <f>IF(E269&lt;&gt;"",_xlfn.XLOOKUP(G269,pivot!$B$1:$B$34,pivot!$A$1:$A$34,"",0),"")</f>
        <v/>
      </c>
      <c r="G269" t="s">
        <v>7</v>
      </c>
      <c r="H269" t="s">
        <v>403</v>
      </c>
      <c r="M269" s="4">
        <f t="shared" si="4"/>
        <v>6</v>
      </c>
    </row>
    <row r="270" spans="1:13" hidden="1" x14ac:dyDescent="0.25">
      <c r="A270" t="s">
        <v>213</v>
      </c>
      <c r="B270" s="16">
        <v>1300049736</v>
      </c>
      <c r="C270" s="4" t="str">
        <f>_xlfn.XLOOKUP(B270,[1]ReportePolizaPorFiltroArribas!$G$1:$G$3955,[1]ReportePolizaPorFiltroArribas!$O$1:$O$3955,"No Encontrado",0)</f>
        <v>2026-04</v>
      </c>
      <c r="D270" s="4" t="str">
        <f>_xlfn.XLOOKUP(B270,[2]Tablero!$AP$1:$AP$6608,[2]Tablero!$AE$1:$AE$6608,"No Encontrado",0)</f>
        <v>03 - PENDIENTE</v>
      </c>
      <c r="F270" s="4" t="str">
        <f>IF(E270&lt;&gt;"",_xlfn.XLOOKUP(G270,pivot!$B$1:$B$34,pivot!$A$1:$A$34,"",0),"")</f>
        <v/>
      </c>
      <c r="G270" s="6" t="s">
        <v>10</v>
      </c>
      <c r="H270" t="s">
        <v>403</v>
      </c>
      <c r="M270" s="4">
        <f t="shared" si="4"/>
        <v>6</v>
      </c>
    </row>
    <row r="271" spans="1:13" hidden="1" x14ac:dyDescent="0.25">
      <c r="A271" t="s">
        <v>127</v>
      </c>
      <c r="B271" s="16">
        <v>1300401814</v>
      </c>
      <c r="C271" s="4" t="str">
        <f>_xlfn.XLOOKUP(B271,[1]ReportePolizaPorFiltroArribas!$G$1:$G$3955,[1]ReportePolizaPorFiltroArribas!$O$1:$O$3955,"No Encontrado",0)</f>
        <v>2025-11</v>
      </c>
      <c r="D271" s="4" t="str">
        <f>_xlfn.XLOOKUP(B271,[2]Tablero!$AP$1:$AP$6608,[2]Tablero!$AE$1:$AE$6608,"No Encontrado",0)</f>
        <v>03 - PENDIENTE</v>
      </c>
      <c r="F271" s="4" t="str">
        <f>IF(E271&lt;&gt;"",_xlfn.XLOOKUP(G271,pivot!$B$1:$B$34,pivot!$A$1:$A$34,"",0),"")</f>
        <v/>
      </c>
      <c r="G271" s="6" t="s">
        <v>10</v>
      </c>
      <c r="H271" t="s">
        <v>332</v>
      </c>
      <c r="M271" s="4">
        <f t="shared" si="4"/>
        <v>6</v>
      </c>
    </row>
    <row r="272" spans="1:13" hidden="1" x14ac:dyDescent="0.25">
      <c r="A272" t="s">
        <v>383</v>
      </c>
      <c r="B272" s="6">
        <v>1300638170</v>
      </c>
      <c r="C272" s="4" t="str">
        <f>_xlfn.XLOOKUP(B272,[1]ReportePolizaPorFiltroArribas!$G$1:$G$3955,[1]ReportePolizaPorFiltroArribas!$O$1:$O$3955,"No Encontrado",0)</f>
        <v>2025-11</v>
      </c>
      <c r="D272" s="4" t="str">
        <f>_xlfn.XLOOKUP(B272,[2]Tablero!$AP$1:$AP$6608,[2]Tablero!$AE$1:$AE$6608,"No Encontrado",0)</f>
        <v>03 - PENDIENTE</v>
      </c>
      <c r="F272" s="4" t="str">
        <f>IF(E272&lt;&gt;"",_xlfn.XLOOKUP(G272,pivot!$B$1:$B$34,pivot!$A$1:$A$34,"",0),"")</f>
        <v/>
      </c>
      <c r="G272" t="s">
        <v>54</v>
      </c>
      <c r="H272" t="s">
        <v>335</v>
      </c>
      <c r="M272" s="4">
        <f t="shared" si="4"/>
        <v>6</v>
      </c>
    </row>
    <row r="273" spans="1:13" hidden="1" x14ac:dyDescent="0.25">
      <c r="A273" t="s">
        <v>248</v>
      </c>
      <c r="B273" s="6">
        <v>1548389</v>
      </c>
      <c r="C273" s="4" t="str">
        <f>_xlfn.XLOOKUP(B273,[1]ReportePolizaPorFiltroArribas!$G$1:$G$3955,[1]ReportePolizaPorFiltroArribas!$O$1:$O$3955,"No Encontrado",0)</f>
        <v>2026-08</v>
      </c>
      <c r="D273" s="4" t="str">
        <f>_xlfn.XLOOKUP(B273,[2]Tablero!$AP$1:$AP$6608,[2]Tablero!$AE$1:$AE$6608,"No Encontrado",0)</f>
        <v>01 - RENOVADA</v>
      </c>
      <c r="F273" s="4" t="str">
        <f>IF(E273&lt;&gt;"",_xlfn.XLOOKUP(G273,pivot!$B$1:$B$34,pivot!$A$1:$A$34,"",0),"")</f>
        <v/>
      </c>
      <c r="G273" t="s">
        <v>7</v>
      </c>
      <c r="H273" t="s">
        <v>506</v>
      </c>
      <c r="M273" s="4">
        <f t="shared" si="4"/>
        <v>6</v>
      </c>
    </row>
    <row r="274" spans="1:13" hidden="1" x14ac:dyDescent="0.25">
      <c r="A274" t="s">
        <v>247</v>
      </c>
      <c r="B274" s="6">
        <v>7047</v>
      </c>
      <c r="C274" s="4" t="str">
        <f>_xlfn.XLOOKUP(B274,[1]ReportePolizaPorFiltroArribas!$G$1:$G$3955,[1]ReportePolizaPorFiltroArribas!$O$1:$O$3955,"No Encontrado",0)</f>
        <v>2026-05</v>
      </c>
      <c r="D274" s="4" t="str">
        <f>_xlfn.XLOOKUP(B274,[2]Tablero!$AP$1:$AP$6608,[2]Tablero!$AE$1:$AE$6608,"No Encontrado",0)</f>
        <v>01 - RENOVADA</v>
      </c>
      <c r="F274" s="4" t="str">
        <f>IF(E274&lt;&gt;"",_xlfn.XLOOKUP(G274,pivot!$B$1:$B$34,pivot!$A$1:$A$34,"",0),"")</f>
        <v/>
      </c>
      <c r="G274" t="s">
        <v>17</v>
      </c>
      <c r="H274" t="s">
        <v>506</v>
      </c>
      <c r="M274" s="4">
        <f t="shared" si="4"/>
        <v>6</v>
      </c>
    </row>
    <row r="275" spans="1:13" hidden="1" x14ac:dyDescent="0.25">
      <c r="A275" t="s">
        <v>172</v>
      </c>
      <c r="B275" s="6">
        <v>61795</v>
      </c>
      <c r="C275" s="4" t="str">
        <f>_xlfn.XLOOKUP(B275,[1]ReportePolizaPorFiltroArribas!$G$1:$G$3955,[1]ReportePolizaPorFiltroArribas!$O$1:$O$3955,"No Encontrado",0)</f>
        <v>2026-05</v>
      </c>
      <c r="D275" s="4" t="str">
        <f>_xlfn.XLOOKUP(B275,[2]Tablero!$AP$1:$AP$6608,[2]Tablero!$AE$1:$AE$6608,"No Encontrado",0)</f>
        <v>01 - RENOVADA</v>
      </c>
      <c r="F275" s="4" t="str">
        <f>IF(E275&lt;&gt;"",_xlfn.XLOOKUP(G275,pivot!$B$1:$B$34,pivot!$A$1:$A$34,"",0),"")</f>
        <v/>
      </c>
      <c r="G275" t="s">
        <v>8</v>
      </c>
      <c r="H275" t="s">
        <v>506</v>
      </c>
      <c r="M275" s="4">
        <f t="shared" si="4"/>
        <v>6</v>
      </c>
    </row>
    <row r="276" spans="1:13" hidden="1" x14ac:dyDescent="0.25">
      <c r="A276" t="s">
        <v>303</v>
      </c>
      <c r="B276" s="6">
        <v>71272</v>
      </c>
      <c r="C276" s="4" t="str">
        <f>_xlfn.XLOOKUP(B276,[1]ReportePolizaPorFiltroArribas!$G$1:$G$3955,[1]ReportePolizaPorFiltroArribas!$O$1:$O$3955,"No Encontrado",0)</f>
        <v>2026-05</v>
      </c>
      <c r="D276" s="4" t="str">
        <f>_xlfn.XLOOKUP(B276,[2]Tablero!$AP$1:$AP$6608,[2]Tablero!$AE$1:$AE$6608,"No Encontrado",0)</f>
        <v>01 - RENOVADA</v>
      </c>
      <c r="F276" s="4" t="str">
        <f>IF(E276&lt;&gt;"",_xlfn.XLOOKUP(G276,pivot!$B$1:$B$34,pivot!$A$1:$A$34,"",0),"")</f>
        <v/>
      </c>
      <c r="G276" t="s">
        <v>14</v>
      </c>
      <c r="H276" t="s">
        <v>506</v>
      </c>
      <c r="M276" s="4">
        <f t="shared" si="4"/>
        <v>6</v>
      </c>
    </row>
    <row r="277" spans="1:13" hidden="1" x14ac:dyDescent="0.25">
      <c r="A277" t="s">
        <v>408</v>
      </c>
      <c r="B277" s="6">
        <v>1465908</v>
      </c>
      <c r="C277" s="4" t="str">
        <f>_xlfn.XLOOKUP(B277,[1]ReportePolizaPorFiltroArribas!$G$1:$G$3955,[1]ReportePolizaPorFiltroArribas!$O$1:$O$3955,"No Encontrado",0)</f>
        <v>2026-10</v>
      </c>
      <c r="D277" s="4" t="str">
        <f>_xlfn.XLOOKUP(B277,[2]Tablero!$AP$1:$AP$6608,[2]Tablero!$AE$1:$AE$6608,"No Encontrado",0)</f>
        <v>01 - RENOVADA</v>
      </c>
      <c r="F277" s="4" t="str">
        <f>IF(E277&lt;&gt;"",_xlfn.XLOOKUP(G277,pivot!$B$1:$B$34,pivot!$A$1:$A$34,"",0),"")</f>
        <v/>
      </c>
      <c r="G277" t="s">
        <v>7</v>
      </c>
      <c r="H277" t="s">
        <v>506</v>
      </c>
      <c r="M277" s="4">
        <f t="shared" si="4"/>
        <v>6</v>
      </c>
    </row>
    <row r="278" spans="1:13" hidden="1" x14ac:dyDescent="0.25">
      <c r="A278" t="s">
        <v>251</v>
      </c>
      <c r="B278" s="6">
        <v>37717</v>
      </c>
      <c r="C278" s="4" t="str">
        <f>_xlfn.XLOOKUP(B278,[1]ReportePolizaPorFiltroArribas!$G$1:$G$3955,[1]ReportePolizaPorFiltroArribas!$O$1:$O$3955,"No Encontrado",0)</f>
        <v>2025-12</v>
      </c>
      <c r="D278" s="4" t="str">
        <f>_xlfn.XLOOKUP(B278,[2]Tablero!$AP$1:$AP$6608,[2]Tablero!$AE$1:$AE$6608,"No Encontrado",0)</f>
        <v>03 - PENDIENTE</v>
      </c>
      <c r="F278" s="4" t="str">
        <f>IF(E278&lt;&gt;"",_xlfn.XLOOKUP(G278,pivot!$B$1:$B$34,pivot!$A$1:$A$34,"",0),"")</f>
        <v/>
      </c>
      <c r="G278" t="s">
        <v>8</v>
      </c>
      <c r="H278" t="s">
        <v>507</v>
      </c>
      <c r="M278" s="4">
        <f t="shared" si="4"/>
        <v>6</v>
      </c>
    </row>
    <row r="279" spans="1:13" hidden="1" x14ac:dyDescent="0.25">
      <c r="A279" t="s">
        <v>252</v>
      </c>
      <c r="B279" s="6">
        <v>37825</v>
      </c>
      <c r="C279" s="4" t="str">
        <f>_xlfn.XLOOKUP(B279,[1]ReportePolizaPorFiltroArribas!$G$1:$G$3955,[1]ReportePolizaPorFiltroArribas!$O$1:$O$3955,"No Encontrado",0)</f>
        <v>No Encontrado</v>
      </c>
      <c r="D279" s="4" t="str">
        <f>_xlfn.XLOOKUP(B279,[2]Tablero!$AP$1:$AP$6608,[2]Tablero!$AE$1:$AE$6608,"No Encontrado",0)</f>
        <v>05 - ANULADA EN VIGENCIA</v>
      </c>
      <c r="F279" s="4" t="str">
        <f>IF(E279&lt;&gt;"",_xlfn.XLOOKUP(G279,pivot!$B$1:$B$34,pivot!$A$1:$A$34,"",0),"")</f>
        <v/>
      </c>
      <c r="G279" t="s">
        <v>8</v>
      </c>
      <c r="H279" t="s">
        <v>507</v>
      </c>
      <c r="M279" s="4">
        <f t="shared" si="4"/>
        <v>6</v>
      </c>
    </row>
    <row r="280" spans="1:13" hidden="1" x14ac:dyDescent="0.25">
      <c r="A280" t="s">
        <v>253</v>
      </c>
      <c r="B280" s="6">
        <v>51145</v>
      </c>
      <c r="C280" s="4" t="str">
        <f>_xlfn.XLOOKUP(B280,[1]ReportePolizaPorFiltroArribas!$G$1:$G$3955,[1]ReportePolizaPorFiltroArribas!$O$1:$O$3955,"No Encontrado",0)</f>
        <v>2025-12</v>
      </c>
      <c r="D280" s="4" t="str">
        <f>_xlfn.XLOOKUP(B280,[2]Tablero!$AP$1:$AP$6608,[2]Tablero!$AE$1:$AE$6608,"No Encontrado",0)</f>
        <v>03 - PENDIENTE</v>
      </c>
      <c r="F280" s="4" t="str">
        <f>IF(E280&lt;&gt;"",_xlfn.XLOOKUP(G280,pivot!$B$1:$B$34,pivot!$A$1:$A$34,"",0),"")</f>
        <v/>
      </c>
      <c r="G280" t="s">
        <v>40</v>
      </c>
      <c r="H280" t="s">
        <v>507</v>
      </c>
      <c r="M280" s="4">
        <f t="shared" si="4"/>
        <v>6</v>
      </c>
    </row>
    <row r="281" spans="1:13" hidden="1" x14ac:dyDescent="0.25">
      <c r="A281" t="s">
        <v>254</v>
      </c>
      <c r="B281" s="6">
        <v>37765</v>
      </c>
      <c r="C281" s="4" t="str">
        <f>_xlfn.XLOOKUP(B281,[1]ReportePolizaPorFiltroArribas!$G$1:$G$3955,[1]ReportePolizaPorFiltroArribas!$O$1:$O$3955,"No Encontrado",0)</f>
        <v>2026-01</v>
      </c>
      <c r="D281" s="4" t="str">
        <f>_xlfn.XLOOKUP(B281,[2]Tablero!$AP$1:$AP$6608,[2]Tablero!$AE$1:$AE$6608,"No Encontrado",0)</f>
        <v>01 - RENOVADA</v>
      </c>
      <c r="F281" s="4" t="str">
        <f>IF(E281&lt;&gt;"",_xlfn.XLOOKUP(G281,pivot!$B$1:$B$34,pivot!$A$1:$A$34,"",0),"")</f>
        <v/>
      </c>
      <c r="G281" s="6" t="s">
        <v>8</v>
      </c>
      <c r="H281" t="s">
        <v>507</v>
      </c>
      <c r="M281" s="4">
        <f t="shared" si="4"/>
        <v>6</v>
      </c>
    </row>
    <row r="282" spans="1:13" hidden="1" x14ac:dyDescent="0.25">
      <c r="A282" t="s">
        <v>255</v>
      </c>
      <c r="B282" s="6">
        <v>15121</v>
      </c>
      <c r="C282" s="4" t="str">
        <f>_xlfn.XLOOKUP(B282,[1]ReportePolizaPorFiltroArribas!$G$1:$G$3955,[1]ReportePolizaPorFiltroArribas!$O$1:$O$3955,"No Encontrado",0)</f>
        <v>2026-02</v>
      </c>
      <c r="D282" s="4" t="str">
        <f>_xlfn.XLOOKUP(B282,[2]Tablero!$AP$1:$AP$6608,[2]Tablero!$AE$1:$AE$6608,"No Encontrado",0)</f>
        <v>01 - RENOVADA</v>
      </c>
      <c r="F282" s="4" t="str">
        <f>IF(E282&lt;&gt;"",_xlfn.XLOOKUP(G282,pivot!$B$1:$B$34,pivot!$A$1:$A$34,"",0),"")</f>
        <v/>
      </c>
      <c r="G282" t="s">
        <v>21</v>
      </c>
      <c r="H282" t="s">
        <v>507</v>
      </c>
      <c r="M282" s="4">
        <f t="shared" si="4"/>
        <v>6</v>
      </c>
    </row>
    <row r="283" spans="1:13" hidden="1" x14ac:dyDescent="0.25">
      <c r="A283" t="s">
        <v>240</v>
      </c>
      <c r="B283" s="6">
        <v>13133</v>
      </c>
      <c r="C283" s="4" t="str">
        <f>_xlfn.XLOOKUP(B283,[1]ReportePolizaPorFiltroArribas!$G$1:$G$3955,[1]ReportePolizaPorFiltroArribas!$O$1:$O$3955,"No Encontrado",0)</f>
        <v>2026-02</v>
      </c>
      <c r="D283" s="4" t="str">
        <f>_xlfn.XLOOKUP(B283,[2]Tablero!$AP$1:$AP$6608,[2]Tablero!$AE$1:$AE$6608,"No Encontrado",0)</f>
        <v>01 - RENOVADA</v>
      </c>
      <c r="F283" s="4" t="str">
        <f>IF(E283&lt;&gt;"",_xlfn.XLOOKUP(G283,pivot!$B$1:$B$34,pivot!$A$1:$A$34,"",0),"")</f>
        <v/>
      </c>
      <c r="G283" t="s">
        <v>21</v>
      </c>
      <c r="H283" t="s">
        <v>507</v>
      </c>
      <c r="M283" s="4">
        <f t="shared" si="4"/>
        <v>6</v>
      </c>
    </row>
    <row r="284" spans="1:13" hidden="1" x14ac:dyDescent="0.25">
      <c r="A284" t="s">
        <v>256</v>
      </c>
      <c r="B284" s="6">
        <v>66835</v>
      </c>
      <c r="C284" s="4" t="str">
        <f>_xlfn.XLOOKUP(B284,[1]ReportePolizaPorFiltroArribas!$G$1:$G$3955,[1]ReportePolizaPorFiltroArribas!$O$1:$O$3955,"No Encontrado",0)</f>
        <v>2026-05</v>
      </c>
      <c r="D284" s="4" t="str">
        <f>_xlfn.XLOOKUP(B284,[2]Tablero!$AP$1:$AP$6608,[2]Tablero!$AE$1:$AE$6608,"No Encontrado",0)</f>
        <v>01 - RENOVADA</v>
      </c>
      <c r="F284" s="4" t="str">
        <f>IF(E284&lt;&gt;"",_xlfn.XLOOKUP(G284,pivot!$B$1:$B$34,pivot!$A$1:$A$34,"",0),"")</f>
        <v/>
      </c>
      <c r="G284" t="s">
        <v>14</v>
      </c>
      <c r="H284" t="s">
        <v>507</v>
      </c>
      <c r="M284" s="4">
        <f t="shared" si="4"/>
        <v>6</v>
      </c>
    </row>
    <row r="285" spans="1:13" hidden="1" x14ac:dyDescent="0.25">
      <c r="A285" t="s">
        <v>257</v>
      </c>
      <c r="B285" s="6">
        <v>71892</v>
      </c>
      <c r="C285" s="4" t="str">
        <f>_xlfn.XLOOKUP(B285,[1]ReportePolizaPorFiltroArribas!$G$1:$G$3955,[1]ReportePolizaPorFiltroArribas!$O$1:$O$3955,"No Encontrado",0)</f>
        <v>2026-05</v>
      </c>
      <c r="D285" s="4" t="str">
        <f>_xlfn.XLOOKUP(B285,[2]Tablero!$AP$1:$AP$6608,[2]Tablero!$AE$1:$AE$6608,"No Encontrado",0)</f>
        <v>01 - RENOVADA</v>
      </c>
      <c r="F285" s="4" t="str">
        <f>IF(E285&lt;&gt;"",_xlfn.XLOOKUP(G285,pivot!$B$1:$B$34,pivot!$A$1:$A$34,"",0),"")</f>
        <v/>
      </c>
      <c r="G285" t="s">
        <v>14</v>
      </c>
      <c r="H285" t="s">
        <v>507</v>
      </c>
      <c r="M285" s="4">
        <f t="shared" si="4"/>
        <v>6</v>
      </c>
    </row>
    <row r="286" spans="1:13" hidden="1" x14ac:dyDescent="0.25">
      <c r="A286" t="s">
        <v>245</v>
      </c>
      <c r="B286" s="6">
        <v>1538650</v>
      </c>
      <c r="C286" s="4" t="str">
        <f>_xlfn.XLOOKUP(B286,[1]ReportePolizaPorFiltroArribas!$G$1:$G$3955,[1]ReportePolizaPorFiltroArribas!$O$1:$O$3955,"No Encontrado",0)</f>
        <v>2026-07</v>
      </c>
      <c r="D286" s="4" t="str">
        <f>_xlfn.XLOOKUP(B286,[2]Tablero!$AP$1:$AP$6608,[2]Tablero!$AE$1:$AE$6608,"No Encontrado",0)</f>
        <v>01 - RENOVADA</v>
      </c>
      <c r="F286" s="4" t="str">
        <f>IF(E286&lt;&gt;"",_xlfn.XLOOKUP(G286,pivot!$B$1:$B$34,pivot!$A$1:$A$34,"",0),"")</f>
        <v/>
      </c>
      <c r="G286" t="s">
        <v>7</v>
      </c>
      <c r="H286" t="s">
        <v>507</v>
      </c>
      <c r="M286" s="4">
        <f t="shared" si="4"/>
        <v>6</v>
      </c>
    </row>
    <row r="287" spans="1:13" hidden="1" x14ac:dyDescent="0.25">
      <c r="A287" t="s">
        <v>258</v>
      </c>
      <c r="B287" s="6">
        <v>1547921</v>
      </c>
      <c r="C287" s="4" t="str">
        <f>_xlfn.XLOOKUP(B287,[1]ReportePolizaPorFiltroArribas!$G$1:$G$3955,[1]ReportePolizaPorFiltroArribas!$O$1:$O$3955,"No Encontrado",0)</f>
        <v>2026-08</v>
      </c>
      <c r="D287" s="4" t="str">
        <f>_xlfn.XLOOKUP(B287,[2]Tablero!$AP$1:$AP$6608,[2]Tablero!$AE$1:$AE$6608,"No Encontrado",0)</f>
        <v>01 - RENOVADA</v>
      </c>
      <c r="F287" s="4" t="str">
        <f>IF(E287&lt;&gt;"",_xlfn.XLOOKUP(G287,pivot!$B$1:$B$34,pivot!$A$1:$A$34,"",0),"")</f>
        <v/>
      </c>
      <c r="G287" t="s">
        <v>7</v>
      </c>
      <c r="H287" t="s">
        <v>507</v>
      </c>
      <c r="M287" s="4">
        <f t="shared" si="4"/>
        <v>6</v>
      </c>
    </row>
    <row r="288" spans="1:13" hidden="1" x14ac:dyDescent="0.25">
      <c r="A288" t="s">
        <v>258</v>
      </c>
      <c r="B288" s="6">
        <v>1547928</v>
      </c>
      <c r="C288" s="4" t="str">
        <f>_xlfn.XLOOKUP(B288,[1]ReportePolizaPorFiltroArribas!$G$1:$G$3955,[1]ReportePolizaPorFiltroArribas!$O$1:$O$3955,"No Encontrado",0)</f>
        <v>2026-08</v>
      </c>
      <c r="D288" s="4" t="str">
        <f>_xlfn.XLOOKUP(B288,[2]Tablero!$AP$1:$AP$6608,[2]Tablero!$AE$1:$AE$6608,"No Encontrado",0)</f>
        <v>01 - RENOVADA</v>
      </c>
      <c r="F288" s="4" t="str">
        <f>IF(E288&lt;&gt;"",_xlfn.XLOOKUP(G288,pivot!$B$1:$B$34,pivot!$A$1:$A$34,"",0),"")</f>
        <v/>
      </c>
      <c r="G288" t="s">
        <v>7</v>
      </c>
      <c r="H288" t="s">
        <v>507</v>
      </c>
      <c r="M288" s="4">
        <f t="shared" si="4"/>
        <v>6</v>
      </c>
    </row>
    <row r="289" spans="1:13" hidden="1" x14ac:dyDescent="0.25">
      <c r="A289" t="s">
        <v>214</v>
      </c>
      <c r="B289" s="6">
        <v>79179</v>
      </c>
      <c r="C289" s="4" t="str">
        <f>_xlfn.XLOOKUP(B289,[1]ReportePolizaPorFiltroArribas!$G$1:$G$3955,[1]ReportePolizaPorFiltroArribas!$O$1:$O$3955,"No Encontrado",0)</f>
        <v>2026-07</v>
      </c>
      <c r="D289" s="4" t="str">
        <f>_xlfn.XLOOKUP(B289,[2]Tablero!$AP$1:$AP$6608,[2]Tablero!$AE$1:$AE$6608,"No Encontrado",0)</f>
        <v>01 - RENOVADA</v>
      </c>
      <c r="F289" s="4" t="str">
        <f>IF(E289&lt;&gt;"",_xlfn.XLOOKUP(G289,pivot!$B$1:$B$34,pivot!$A$1:$A$34,"",0),"")</f>
        <v/>
      </c>
      <c r="G289" t="s">
        <v>14</v>
      </c>
      <c r="H289" t="s">
        <v>507</v>
      </c>
      <c r="M289" s="4">
        <f t="shared" si="4"/>
        <v>6</v>
      </c>
    </row>
    <row r="290" spans="1:13" hidden="1" x14ac:dyDescent="0.25">
      <c r="A290" t="s">
        <v>477</v>
      </c>
      <c r="B290" s="6">
        <v>500867</v>
      </c>
      <c r="C290" s="4" t="str">
        <f>_xlfn.XLOOKUP(B290,[1]ReportePolizaPorFiltroArribas!$G$1:$G$3955,[1]ReportePolizaPorFiltroArribas!$O$1:$O$3955,"No Encontrado",0)</f>
        <v>2025-12</v>
      </c>
      <c r="D290" s="4" t="str">
        <f>_xlfn.XLOOKUP(B290,[2]Tablero!$AP$1:$AP$6608,[2]Tablero!$AE$1:$AE$6608,"No Encontrado",0)</f>
        <v>No Encontrado</v>
      </c>
      <c r="F290" s="4" t="str">
        <f>IF(E290&lt;&gt;"",_xlfn.XLOOKUP(G290,pivot!$B$1:$B$34,pivot!$A$1:$A$34,"",0),"")</f>
        <v/>
      </c>
      <c r="G290" t="s">
        <v>508</v>
      </c>
      <c r="H290" t="s">
        <v>507</v>
      </c>
      <c r="M290" s="4">
        <f t="shared" si="4"/>
        <v>6</v>
      </c>
    </row>
    <row r="291" spans="1:13" hidden="1" x14ac:dyDescent="0.25">
      <c r="A291" t="s">
        <v>115</v>
      </c>
      <c r="B291" s="6">
        <v>1300641243</v>
      </c>
      <c r="C291" s="4" t="str">
        <f>_xlfn.XLOOKUP(B291,[1]ReportePolizaPorFiltroArribas!$G$1:$G$3955,[1]ReportePolizaPorFiltroArribas!$O$1:$O$3955,"No Encontrado",0)</f>
        <v>2026-10</v>
      </c>
      <c r="D291" s="4" t="str">
        <f>_xlfn.XLOOKUP(B291,[2]Tablero!$AP$1:$AP$6608,[2]Tablero!$AE$1:$AE$6608,"No Encontrado",0)</f>
        <v>No Encontrado</v>
      </c>
      <c r="F291" s="4" t="str">
        <f>IF(E291&lt;&gt;"",_xlfn.XLOOKUP(G291,pivot!$B$1:$B$34,pivot!$A$1:$A$34,"",0),"")</f>
        <v/>
      </c>
      <c r="G291" t="s">
        <v>54</v>
      </c>
      <c r="H291" t="s">
        <v>507</v>
      </c>
      <c r="M291" s="4">
        <f t="shared" si="4"/>
        <v>6</v>
      </c>
    </row>
    <row r="292" spans="1:13" hidden="1" x14ac:dyDescent="0.25">
      <c r="A292" t="s">
        <v>471</v>
      </c>
      <c r="B292" s="6" t="s">
        <v>478</v>
      </c>
      <c r="C292" s="4" t="str">
        <f>_xlfn.XLOOKUP(B292,[1]ReportePolizaPorFiltroArribas!$G$1:$G$3955,[1]ReportePolizaPorFiltroArribas!$O$1:$O$3955,"No Encontrado",0)</f>
        <v>2026-04</v>
      </c>
      <c r="D292" s="4" t="str">
        <f>_xlfn.XLOOKUP(B292,[2]Tablero!$AP$1:$AP$6608,[2]Tablero!$AE$1:$AE$6608,"No Encontrado",0)</f>
        <v>01 - RENOVADA</v>
      </c>
      <c r="F292" s="4" t="str">
        <f>IF(E292&lt;&gt;"",_xlfn.XLOOKUP(G292,pivot!$B$1:$B$34,pivot!$A$1:$A$34,"",0),"")</f>
        <v/>
      </c>
      <c r="G292" s="6" t="s">
        <v>4</v>
      </c>
      <c r="H292" t="s">
        <v>507</v>
      </c>
      <c r="M292" s="4">
        <f t="shared" si="4"/>
        <v>6</v>
      </c>
    </row>
    <row r="293" spans="1:13" hidden="1" x14ac:dyDescent="0.25">
      <c r="A293" t="s">
        <v>75</v>
      </c>
      <c r="B293" s="6" t="s">
        <v>76</v>
      </c>
      <c r="C293" s="4" t="str">
        <f>_xlfn.XLOOKUP(B293,[1]ReportePolizaPorFiltroArribas!$G$1:$G$3955,[1]ReportePolizaPorFiltroArribas!$O$1:$O$3955,"No Encontrado",0)</f>
        <v>2026-04</v>
      </c>
      <c r="D293" s="4" t="str">
        <f>_xlfn.XLOOKUP(B293,[2]Tablero!$AP$1:$AP$6608,[2]Tablero!$AE$1:$AE$6608,"No Encontrado",0)</f>
        <v>01 - RENOVADA</v>
      </c>
      <c r="F293" s="4" t="str">
        <f>IF(E293&lt;&gt;"",_xlfn.XLOOKUP(G293,pivot!$B$1:$B$34,pivot!$A$1:$A$34,"",0),"")</f>
        <v/>
      </c>
      <c r="G293" t="s">
        <v>4</v>
      </c>
      <c r="H293" t="s">
        <v>507</v>
      </c>
      <c r="M293" s="4">
        <f t="shared" si="4"/>
        <v>6</v>
      </c>
    </row>
    <row r="294" spans="1:13" hidden="1" x14ac:dyDescent="0.25">
      <c r="A294" t="s">
        <v>479</v>
      </c>
      <c r="B294" s="6" t="s">
        <v>480</v>
      </c>
      <c r="C294" s="4" t="str">
        <f>_xlfn.XLOOKUP(B294,[1]ReportePolizaPorFiltroArribas!$G$1:$G$3955,[1]ReportePolizaPorFiltroArribas!$O$1:$O$3955,"No Encontrado",0)</f>
        <v>2026-03</v>
      </c>
      <c r="D294" s="4" t="str">
        <f>_xlfn.XLOOKUP(B294,[2]Tablero!$AP$1:$AP$6608,[2]Tablero!$AE$1:$AE$6608,"No Encontrado",0)</f>
        <v>01 - RENOVADA</v>
      </c>
      <c r="F294" s="4" t="str">
        <f>IF(E294&lt;&gt;"",_xlfn.XLOOKUP(G294,pivot!$B$1:$B$34,pivot!$A$1:$A$34,"",0),"")</f>
        <v/>
      </c>
      <c r="G294" t="s">
        <v>4</v>
      </c>
      <c r="H294" t="s">
        <v>507</v>
      </c>
      <c r="M294" s="4">
        <f t="shared" si="4"/>
        <v>6</v>
      </c>
    </row>
    <row r="295" spans="1:13" hidden="1" x14ac:dyDescent="0.25">
      <c r="A295" t="s">
        <v>96</v>
      </c>
      <c r="B295" s="6" t="s">
        <v>97</v>
      </c>
      <c r="C295" s="4" t="str">
        <f>_xlfn.XLOOKUP(B295,[1]ReportePolizaPorFiltroArribas!$G$1:$G$3955,[1]ReportePolizaPorFiltroArribas!$O$1:$O$3955,"No Encontrado",0)</f>
        <v>2026-04</v>
      </c>
      <c r="D295" s="4" t="str">
        <f>_xlfn.XLOOKUP(B295,[2]Tablero!$AP$1:$AP$6608,[2]Tablero!$AE$1:$AE$6608,"No Encontrado",0)</f>
        <v>01 - RENOVADA</v>
      </c>
      <c r="F295" s="4" t="str">
        <f>IF(E295&lt;&gt;"",_xlfn.XLOOKUP(G295,pivot!$B$1:$B$34,pivot!$A$1:$A$34,"",0),"")</f>
        <v/>
      </c>
      <c r="G295" t="s">
        <v>4</v>
      </c>
      <c r="H295" t="s">
        <v>507</v>
      </c>
      <c r="M295" s="4">
        <f t="shared" si="4"/>
        <v>6</v>
      </c>
    </row>
    <row r="296" spans="1:13" hidden="1" x14ac:dyDescent="0.25">
      <c r="A296" t="s">
        <v>216</v>
      </c>
      <c r="B296" s="6" t="s">
        <v>224</v>
      </c>
      <c r="C296" s="4" t="str">
        <f>_xlfn.XLOOKUP(B296,[1]ReportePolizaPorFiltroArribas!$G$1:$G$3955,[1]ReportePolizaPorFiltroArribas!$O$1:$O$3955,"No Encontrado",0)</f>
        <v>2026-04</v>
      </c>
      <c r="D296" s="4" t="str">
        <f>_xlfn.XLOOKUP(B296,[2]Tablero!$AP$1:$AP$6608,[2]Tablero!$AE$1:$AE$6608,"No Encontrado",0)</f>
        <v>01 - RENOVADA</v>
      </c>
      <c r="F296" s="4" t="str">
        <f>IF(E296&lt;&gt;"",_xlfn.XLOOKUP(G296,pivot!$B$1:$B$34,pivot!$A$1:$A$34,"",0),"")</f>
        <v/>
      </c>
      <c r="G296" t="s">
        <v>4</v>
      </c>
      <c r="H296" t="s">
        <v>507</v>
      </c>
      <c r="M296" s="4">
        <f t="shared" si="4"/>
        <v>6</v>
      </c>
    </row>
    <row r="297" spans="1:13" hidden="1" x14ac:dyDescent="0.25">
      <c r="A297" t="s">
        <v>481</v>
      </c>
      <c r="B297" s="6" t="s">
        <v>482</v>
      </c>
      <c r="C297" s="4" t="str">
        <f>_xlfn.XLOOKUP(B297,[1]ReportePolizaPorFiltroArribas!$G$1:$G$3955,[1]ReportePolizaPorFiltroArribas!$O$1:$O$3955,"No Encontrado",0)</f>
        <v>2026-08</v>
      </c>
      <c r="D297" s="4" t="str">
        <f>_xlfn.XLOOKUP(B297,[2]Tablero!$AP$1:$AP$6608,[2]Tablero!$AE$1:$AE$6608,"No Encontrado",0)</f>
        <v>01 - RENOVADA</v>
      </c>
      <c r="F297" s="4" t="str">
        <f>IF(E297&lt;&gt;"",_xlfn.XLOOKUP(G297,pivot!$B$1:$B$34,pivot!$A$1:$A$34,"",0),"")</f>
        <v/>
      </c>
      <c r="G297" t="s">
        <v>4</v>
      </c>
      <c r="H297" t="s">
        <v>507</v>
      </c>
      <c r="M297" s="4">
        <f t="shared" si="4"/>
        <v>6</v>
      </c>
    </row>
    <row r="298" spans="1:13" hidden="1" x14ac:dyDescent="0.25">
      <c r="A298" t="s">
        <v>470</v>
      </c>
      <c r="B298" s="6" t="s">
        <v>483</v>
      </c>
      <c r="C298" s="4" t="str">
        <f>_xlfn.XLOOKUP(B298,[1]ReportePolizaPorFiltroArribas!$G$1:$G$3955,[1]ReportePolizaPorFiltroArribas!$O$1:$O$3955,"No Encontrado",0)</f>
        <v>2026-05</v>
      </c>
      <c r="D298" s="4" t="str">
        <f>_xlfn.XLOOKUP(B298,[2]Tablero!$AP$1:$AP$6608,[2]Tablero!$AE$1:$AE$6608,"No Encontrado",0)</f>
        <v>No Encontrado</v>
      </c>
      <c r="F298" s="4" t="str">
        <f>IF(E298&lt;&gt;"",_xlfn.XLOOKUP(G298,pivot!$B$1:$B$34,pivot!$A$1:$A$34,"",0),"")</f>
        <v/>
      </c>
      <c r="G298" s="6" t="s">
        <v>4</v>
      </c>
      <c r="H298" t="s">
        <v>507</v>
      </c>
      <c r="M298" s="4">
        <f t="shared" si="4"/>
        <v>6</v>
      </c>
    </row>
    <row r="299" spans="1:13" hidden="1" x14ac:dyDescent="0.25">
      <c r="A299" t="s">
        <v>486</v>
      </c>
      <c r="B299" s="6" t="s">
        <v>487</v>
      </c>
      <c r="C299" s="4" t="str">
        <f>_xlfn.XLOOKUP(B299,[1]ReportePolizaPorFiltroArribas!$G$1:$G$3955,[1]ReportePolizaPorFiltroArribas!$O$1:$O$3955,"No Encontrado",0)</f>
        <v>2026-07</v>
      </c>
      <c r="D299" s="4" t="str">
        <f>_xlfn.XLOOKUP(B299,[2]Tablero!$AP$1:$AP$6608,[2]Tablero!$AE$1:$AE$6608,"No Encontrado",0)</f>
        <v>01 - RENOVADA</v>
      </c>
      <c r="F299" s="4" t="str">
        <f>IF(E299&lt;&gt;"",_xlfn.XLOOKUP(G299,pivot!$B$1:$B$34,pivot!$A$1:$A$34,"",0),"")</f>
        <v/>
      </c>
      <c r="G299" t="s">
        <v>4</v>
      </c>
      <c r="H299" t="s">
        <v>507</v>
      </c>
      <c r="M299" s="4">
        <f t="shared" si="4"/>
        <v>6</v>
      </c>
    </row>
    <row r="300" spans="1:13" hidden="1" x14ac:dyDescent="0.25">
      <c r="A300" t="s">
        <v>488</v>
      </c>
      <c r="B300" s="6" t="s">
        <v>489</v>
      </c>
      <c r="C300" s="4" t="str">
        <f>_xlfn.XLOOKUP(B300,[1]ReportePolizaPorFiltroArribas!$G$1:$G$3955,[1]ReportePolizaPorFiltroArribas!$O$1:$O$3955,"No Encontrado",0)</f>
        <v>2025-12</v>
      </c>
      <c r="D300" s="4" t="str">
        <f>_xlfn.XLOOKUP(B300,[2]Tablero!$AP$1:$AP$6608,[2]Tablero!$AE$1:$AE$6608,"No Encontrado",0)</f>
        <v>03 - PENDIENTE</v>
      </c>
      <c r="F300" s="4" t="str">
        <f>IF(E300&lt;&gt;"",_xlfn.XLOOKUP(G300,pivot!$B$1:$B$34,pivot!$A$1:$A$34,"",0),"")</f>
        <v/>
      </c>
      <c r="G300" t="s">
        <v>4</v>
      </c>
      <c r="H300" t="s">
        <v>507</v>
      </c>
      <c r="M300" s="4">
        <f t="shared" si="4"/>
        <v>6</v>
      </c>
    </row>
    <row r="301" spans="1:13" hidden="1" x14ac:dyDescent="0.25">
      <c r="A301" t="s">
        <v>213</v>
      </c>
      <c r="B301" s="6" t="s">
        <v>227</v>
      </c>
      <c r="C301" s="4" t="str">
        <f>_xlfn.XLOOKUP(B301,[1]ReportePolizaPorFiltroArribas!$G$1:$G$3955,[1]ReportePolizaPorFiltroArribas!$O$1:$O$3955,"No Encontrado",0)</f>
        <v>2025-12</v>
      </c>
      <c r="D301" s="4" t="str">
        <f>_xlfn.XLOOKUP(B301,[2]Tablero!$AP$1:$AP$6608,[2]Tablero!$AE$1:$AE$6608,"No Encontrado",0)</f>
        <v>03 - PENDIENTE</v>
      </c>
      <c r="F301" s="4" t="str">
        <f>IF(E301&lt;&gt;"",_xlfn.XLOOKUP(G301,pivot!$B$1:$B$34,pivot!$A$1:$A$34,"",0),"")</f>
        <v/>
      </c>
      <c r="G301" t="s">
        <v>4</v>
      </c>
      <c r="H301" t="s">
        <v>507</v>
      </c>
      <c r="M301" s="4">
        <f t="shared" si="4"/>
        <v>6</v>
      </c>
    </row>
    <row r="302" spans="1:13" hidden="1" x14ac:dyDescent="0.25">
      <c r="A302" t="s">
        <v>490</v>
      </c>
      <c r="B302" s="6" t="s">
        <v>491</v>
      </c>
      <c r="C302" s="4" t="str">
        <f>_xlfn.XLOOKUP(B302,[1]ReportePolizaPorFiltroArribas!$G$1:$G$3955,[1]ReportePolizaPorFiltroArribas!$O$1:$O$3955,"No Encontrado",0)</f>
        <v>2025-12</v>
      </c>
      <c r="D302" s="4" t="str">
        <f>_xlfn.XLOOKUP(B302,[2]Tablero!$AP$1:$AP$6608,[2]Tablero!$AE$1:$AE$6608,"No Encontrado",0)</f>
        <v>03 - PENDIENTE</v>
      </c>
      <c r="F302" s="4" t="str">
        <f>IF(E302&lt;&gt;"",_xlfn.XLOOKUP(G302,pivot!$B$1:$B$34,pivot!$A$1:$A$34,"",0),"")</f>
        <v/>
      </c>
      <c r="G302" t="s">
        <v>4</v>
      </c>
      <c r="H302" t="s">
        <v>507</v>
      </c>
      <c r="M302" s="4">
        <f t="shared" si="4"/>
        <v>6</v>
      </c>
    </row>
    <row r="303" spans="1:13" hidden="1" x14ac:dyDescent="0.25">
      <c r="A303" t="s">
        <v>492</v>
      </c>
      <c r="B303" s="6" t="s">
        <v>493</v>
      </c>
      <c r="C303" s="4" t="str">
        <f>_xlfn.XLOOKUP(B303,[1]ReportePolizaPorFiltroArribas!$G$1:$G$3955,[1]ReportePolizaPorFiltroArribas!$O$1:$O$3955,"No Encontrado",0)</f>
        <v>2026-02</v>
      </c>
      <c r="D303" s="4" t="str">
        <f>_xlfn.XLOOKUP(B303,[2]Tablero!$AP$1:$AP$6608,[2]Tablero!$AE$1:$AE$6608,"No Encontrado",0)</f>
        <v>01 - RENOVADA</v>
      </c>
      <c r="F303" s="4" t="str">
        <f>IF(E303&lt;&gt;"",_xlfn.XLOOKUP(G303,pivot!$B$1:$B$34,pivot!$A$1:$A$34,"",0),"")</f>
        <v/>
      </c>
      <c r="G303" t="s">
        <v>4</v>
      </c>
      <c r="H303" t="s">
        <v>507</v>
      </c>
      <c r="M303" s="4">
        <f t="shared" si="4"/>
        <v>6</v>
      </c>
    </row>
    <row r="304" spans="1:13" hidden="1" x14ac:dyDescent="0.25">
      <c r="A304" t="s">
        <v>494</v>
      </c>
      <c r="B304" s="6" t="s">
        <v>495</v>
      </c>
      <c r="C304" s="4" t="str">
        <f>_xlfn.XLOOKUP(B304,[1]ReportePolizaPorFiltroArribas!$G$1:$G$3955,[1]ReportePolizaPorFiltroArribas!$O$1:$O$3955,"No Encontrado",0)</f>
        <v>2026-05</v>
      </c>
      <c r="D304" s="4" t="str">
        <f>_xlfn.XLOOKUP(B304,[2]Tablero!$AP$1:$AP$6608,[2]Tablero!$AE$1:$AE$6608,"No Encontrado",0)</f>
        <v>01 - RENOVADA</v>
      </c>
      <c r="F304" s="4" t="str">
        <f>IF(E304&lt;&gt;"",_xlfn.XLOOKUP(G304,pivot!$B$1:$B$34,pivot!$A$1:$A$34,"",0),"")</f>
        <v/>
      </c>
      <c r="G304" t="s">
        <v>4</v>
      </c>
      <c r="H304" t="s">
        <v>507</v>
      </c>
      <c r="M304" s="4">
        <f t="shared" si="4"/>
        <v>6</v>
      </c>
    </row>
    <row r="305" spans="1:13" hidden="1" x14ac:dyDescent="0.25">
      <c r="A305" t="s">
        <v>136</v>
      </c>
      <c r="B305" s="6" t="s">
        <v>226</v>
      </c>
      <c r="C305" s="4" t="str">
        <f>_xlfn.XLOOKUP(B305,[1]ReportePolizaPorFiltroArribas!$G$1:$G$3955,[1]ReportePolizaPorFiltroArribas!$O$1:$O$3955,"No Encontrado",0)</f>
        <v>2026-10</v>
      </c>
      <c r="D305" s="4" t="str">
        <f>_xlfn.XLOOKUP(B305,[2]Tablero!$AP$1:$AP$6608,[2]Tablero!$AE$1:$AE$6608,"No Encontrado",0)</f>
        <v>01 - RENOVADA</v>
      </c>
      <c r="F305" s="4" t="str">
        <f>IF(E305&lt;&gt;"",_xlfn.XLOOKUP(G305,pivot!$B$1:$B$34,pivot!$A$1:$A$34,"",0),"")</f>
        <v/>
      </c>
      <c r="G305" t="s">
        <v>4</v>
      </c>
      <c r="H305" t="s">
        <v>507</v>
      </c>
      <c r="M305" s="4">
        <f t="shared" si="4"/>
        <v>6</v>
      </c>
    </row>
    <row r="306" spans="1:13" hidden="1" x14ac:dyDescent="0.25">
      <c r="A306" t="s">
        <v>496</v>
      </c>
      <c r="B306" s="6" t="s">
        <v>497</v>
      </c>
      <c r="C306" s="4" t="str">
        <f>_xlfn.XLOOKUP(B306,[1]ReportePolizaPorFiltroArribas!$G$1:$G$3955,[1]ReportePolizaPorFiltroArribas!$O$1:$O$3955,"No Encontrado",0)</f>
        <v>2026-10</v>
      </c>
      <c r="D306" s="4" t="str">
        <f>_xlfn.XLOOKUP(B306,[2]Tablero!$AP$1:$AP$6608,[2]Tablero!$AE$1:$AE$6608,"No Encontrado",0)</f>
        <v>01 - RENOVADA</v>
      </c>
      <c r="F306" s="4" t="str">
        <f>IF(E306&lt;&gt;"",_xlfn.XLOOKUP(G306,pivot!$B$1:$B$34,pivot!$A$1:$A$34,"",0),"")</f>
        <v/>
      </c>
      <c r="G306" t="s">
        <v>4</v>
      </c>
      <c r="H306" t="s">
        <v>507</v>
      </c>
      <c r="M306" s="4">
        <f t="shared" si="4"/>
        <v>6</v>
      </c>
    </row>
    <row r="307" spans="1:13" hidden="1" x14ac:dyDescent="0.25">
      <c r="A307" t="s">
        <v>229</v>
      </c>
      <c r="B307" s="6" t="s">
        <v>230</v>
      </c>
      <c r="C307" s="4" t="str">
        <f>_xlfn.XLOOKUP(B307,[1]ReportePolizaPorFiltroArribas!$G$1:$G$3955,[1]ReportePolizaPorFiltroArribas!$O$1:$O$3955,"No Encontrado",0)</f>
        <v>2026-10</v>
      </c>
      <c r="D307" s="4" t="str">
        <f>_xlfn.XLOOKUP(B307,[2]Tablero!$AP$1:$AP$6608,[2]Tablero!$AE$1:$AE$6608,"No Encontrado",0)</f>
        <v>01 - RENOVADA</v>
      </c>
      <c r="F307" s="4" t="str">
        <f>IF(E307&lt;&gt;"",_xlfn.XLOOKUP(G307,pivot!$B$1:$B$34,pivot!$A$1:$A$34,"",0),"")</f>
        <v/>
      </c>
      <c r="G307" t="s">
        <v>4</v>
      </c>
      <c r="H307" t="s">
        <v>507</v>
      </c>
      <c r="M307" s="4">
        <f t="shared" si="4"/>
        <v>6</v>
      </c>
    </row>
    <row r="308" spans="1:13" hidden="1" x14ac:dyDescent="0.25">
      <c r="A308" t="s">
        <v>354</v>
      </c>
      <c r="B308" s="6">
        <v>1563894</v>
      </c>
      <c r="C308" s="4" t="str">
        <f>_xlfn.XLOOKUP(B308,[1]ReportePolizaPorFiltroArribas!$G$1:$G$3955,[1]ReportePolizaPorFiltroArribas!$O$1:$O$3955,"No Encontrado",0)</f>
        <v>2026-09</v>
      </c>
      <c r="D308" s="4" t="str">
        <f>_xlfn.XLOOKUP(B308,[2]Tablero!$AP$1:$AP$6608,[2]Tablero!$AE$1:$AE$6608,"No Encontrado",0)</f>
        <v>01 - RENOVADA</v>
      </c>
      <c r="F308" s="4" t="str">
        <f>IF(E308&lt;&gt;"",_xlfn.XLOOKUP(G308,pivot!$B$1:$B$34,pivot!$A$1:$A$34,"",0),"")</f>
        <v/>
      </c>
      <c r="G308" s="6" t="s">
        <v>7</v>
      </c>
      <c r="H308" t="s">
        <v>509</v>
      </c>
      <c r="M308" s="4">
        <f t="shared" si="4"/>
        <v>6</v>
      </c>
    </row>
    <row r="309" spans="1:13" hidden="1" x14ac:dyDescent="0.25">
      <c r="A309" t="s">
        <v>216</v>
      </c>
      <c r="B309" s="6">
        <v>94616743</v>
      </c>
      <c r="C309" s="4" t="str">
        <f>_xlfn.XLOOKUP(B309,[1]ReportePolizaPorFiltroArribas!$G$1:$G$3955,[1]ReportePolizaPorFiltroArribas!$O$1:$O$3955,"No Encontrado",0)</f>
        <v>2026-03</v>
      </c>
      <c r="D309" s="4" t="str">
        <f>_xlfn.XLOOKUP(B309,[2]Tablero!$AP$1:$AP$6608,[2]Tablero!$AE$1:$AE$6608,"No Encontrado",0)</f>
        <v>03 - PENDIENTE</v>
      </c>
      <c r="F309" s="4" t="str">
        <f>IF(E309&lt;&gt;"",_xlfn.XLOOKUP(G309,pivot!$B$1:$B$34,pivot!$A$1:$A$34,"",0),"")</f>
        <v/>
      </c>
      <c r="G309" t="s">
        <v>10</v>
      </c>
      <c r="H309" t="s">
        <v>509</v>
      </c>
      <c r="M309" s="4">
        <f t="shared" si="4"/>
        <v>6</v>
      </c>
    </row>
    <row r="310" spans="1:13" hidden="1" x14ac:dyDescent="0.25">
      <c r="A310" t="s">
        <v>419</v>
      </c>
      <c r="B310" s="6" t="s">
        <v>420</v>
      </c>
      <c r="C310" s="4" t="str">
        <f>_xlfn.XLOOKUP(B310,[1]ReportePolizaPorFiltroArribas!$G$1:$G$3955,[1]ReportePolizaPorFiltroArribas!$O$1:$O$3955,"No Encontrado",0)</f>
        <v>2025-11</v>
      </c>
      <c r="D310" s="4" t="str">
        <f>_xlfn.XLOOKUP(B310,[2]Tablero!$AP$1:$AP$6608,[2]Tablero!$AE$1:$AE$6608,"No Encontrado",0)</f>
        <v>03 - PENDIENTE</v>
      </c>
      <c r="F310" s="4" t="str">
        <f>IF(E310&lt;&gt;"",_xlfn.XLOOKUP(G310,pivot!$B$1:$B$34,pivot!$A$1:$A$34,"",0),"")</f>
        <v/>
      </c>
      <c r="G310" t="s">
        <v>6</v>
      </c>
      <c r="H310" t="s">
        <v>371</v>
      </c>
      <c r="M310" s="4">
        <f t="shared" si="4"/>
        <v>6</v>
      </c>
    </row>
    <row r="311" spans="1:13" hidden="1" x14ac:dyDescent="0.25">
      <c r="A311" t="s">
        <v>264</v>
      </c>
      <c r="B311" s="6">
        <v>66684</v>
      </c>
      <c r="C311" s="4" t="str">
        <f>_xlfn.XLOOKUP(B311,[1]ReportePolizaPorFiltroArribas!$G$1:$G$3955,[1]ReportePolizaPorFiltroArribas!$O$1:$O$3955,"No Encontrado",0)</f>
        <v>2025-12</v>
      </c>
      <c r="D311" s="4" t="str">
        <f>_xlfn.XLOOKUP(B311,[2]Tablero!$AP$1:$AP$6608,[2]Tablero!$AE$1:$AE$6608,"No Encontrado",0)</f>
        <v>03 - PENDIENTE</v>
      </c>
      <c r="F311" s="4" t="str">
        <f>IF(E311&lt;&gt;"",_xlfn.XLOOKUP(G311,pivot!$B$1:$B$34,pivot!$A$1:$A$34,"",0),"")</f>
        <v/>
      </c>
      <c r="G311" s="6" t="s">
        <v>8</v>
      </c>
      <c r="H311" t="s">
        <v>509</v>
      </c>
      <c r="M311" s="4">
        <f t="shared" si="4"/>
        <v>6</v>
      </c>
    </row>
    <row r="312" spans="1:13" hidden="1" x14ac:dyDescent="0.25">
      <c r="A312" t="s">
        <v>265</v>
      </c>
      <c r="B312" s="6">
        <v>47141</v>
      </c>
      <c r="C312" s="4" t="str">
        <f>_xlfn.XLOOKUP(B312,[1]ReportePolizaPorFiltroArribas!$G$1:$G$3955,[1]ReportePolizaPorFiltroArribas!$O$1:$O$3955,"No Encontrado",0)</f>
        <v>2026-02</v>
      </c>
      <c r="D312" s="4" t="str">
        <f>_xlfn.XLOOKUP(B312,[2]Tablero!$AP$1:$AP$6608,[2]Tablero!$AE$1:$AE$6608,"No Encontrado",0)</f>
        <v>01 - RENOVADA</v>
      </c>
      <c r="F312" s="4" t="str">
        <f>IF(E312&lt;&gt;"",_xlfn.XLOOKUP(G312,pivot!$B$1:$B$34,pivot!$A$1:$A$34,"",0),"")</f>
        <v/>
      </c>
      <c r="G312" t="s">
        <v>9</v>
      </c>
      <c r="H312" t="s">
        <v>509</v>
      </c>
      <c r="M312" s="4">
        <f t="shared" si="4"/>
        <v>6</v>
      </c>
    </row>
    <row r="313" spans="1:13" hidden="1" x14ac:dyDescent="0.25">
      <c r="A313" t="s">
        <v>266</v>
      </c>
      <c r="B313" s="6">
        <v>100538</v>
      </c>
      <c r="C313" s="4" t="str">
        <f>_xlfn.XLOOKUP(B313,[1]ReportePolizaPorFiltroArribas!$G$1:$G$3955,[1]ReportePolizaPorFiltroArribas!$O$1:$O$3955,"No Encontrado",0)</f>
        <v>2026-01</v>
      </c>
      <c r="D313" s="4" t="str">
        <f>_xlfn.XLOOKUP(B313,[2]Tablero!$AP$1:$AP$6608,[2]Tablero!$AE$1:$AE$6608,"No Encontrado",0)</f>
        <v>01 - RENOVADA</v>
      </c>
      <c r="F313" s="4" t="str">
        <f>IF(E313&lt;&gt;"",_xlfn.XLOOKUP(G313,pivot!$B$1:$B$34,pivot!$A$1:$A$34,"",0),"")</f>
        <v/>
      </c>
      <c r="G313" s="6" t="s">
        <v>14</v>
      </c>
      <c r="H313" t="s">
        <v>509</v>
      </c>
      <c r="M313" s="4">
        <f t="shared" si="4"/>
        <v>6</v>
      </c>
    </row>
    <row r="314" spans="1:13" hidden="1" x14ac:dyDescent="0.25">
      <c r="A314" t="s">
        <v>267</v>
      </c>
      <c r="B314" s="6">
        <v>73140</v>
      </c>
      <c r="C314" s="4" t="str">
        <f>_xlfn.XLOOKUP(B314,[1]ReportePolizaPorFiltroArribas!$G$1:$G$3955,[1]ReportePolizaPorFiltroArribas!$O$1:$O$3955,"No Encontrado",0)</f>
        <v>2026-03</v>
      </c>
      <c r="D314" s="4" t="str">
        <f>_xlfn.XLOOKUP(B314,[2]Tablero!$AP$1:$AP$6608,[2]Tablero!$AE$1:$AE$6608,"No Encontrado",0)</f>
        <v>01 - RENOVADA</v>
      </c>
      <c r="F314" s="4" t="str">
        <f>IF(E314&lt;&gt;"",_xlfn.XLOOKUP(G314,pivot!$B$1:$B$34,pivot!$A$1:$A$34,"",0),"")</f>
        <v/>
      </c>
      <c r="G314" t="s">
        <v>8</v>
      </c>
      <c r="H314" t="s">
        <v>509</v>
      </c>
      <c r="M314" s="4">
        <f t="shared" si="4"/>
        <v>6</v>
      </c>
    </row>
    <row r="315" spans="1:13" hidden="1" x14ac:dyDescent="0.25">
      <c r="A315" t="s">
        <v>107</v>
      </c>
      <c r="B315" s="6">
        <v>69196</v>
      </c>
      <c r="C315" s="4" t="str">
        <f>_xlfn.XLOOKUP(B315,[1]ReportePolizaPorFiltroArribas!$G$1:$G$3955,[1]ReportePolizaPorFiltroArribas!$O$1:$O$3955,"No Encontrado",0)</f>
        <v>2026-05</v>
      </c>
      <c r="D315" s="4" t="str">
        <f>_xlfn.XLOOKUP(B315,[2]Tablero!$AP$1:$AP$6608,[2]Tablero!$AE$1:$AE$6608,"No Encontrado",0)</f>
        <v>01 - RENOVADA</v>
      </c>
      <c r="F315" s="4" t="str">
        <f>IF(E315&lt;&gt;"",_xlfn.XLOOKUP(G315,pivot!$B$1:$B$34,pivot!$A$1:$A$34,"",0),"")</f>
        <v/>
      </c>
      <c r="G315" t="s">
        <v>8</v>
      </c>
      <c r="H315" t="s">
        <v>509</v>
      </c>
      <c r="M315" s="4">
        <f t="shared" si="4"/>
        <v>6</v>
      </c>
    </row>
    <row r="316" spans="1:13" hidden="1" x14ac:dyDescent="0.25">
      <c r="A316" t="s">
        <v>268</v>
      </c>
      <c r="B316" s="6">
        <v>41525</v>
      </c>
      <c r="C316" s="4" t="str">
        <f>_xlfn.XLOOKUP(B316,[1]ReportePolizaPorFiltroArribas!$G$1:$G$3955,[1]ReportePolizaPorFiltroArribas!$O$1:$O$3955,"No Encontrado",0)</f>
        <v>2026-04</v>
      </c>
      <c r="D316" s="4" t="str">
        <f>_xlfn.XLOOKUP(B316,[2]Tablero!$AP$1:$AP$6608,[2]Tablero!$AE$1:$AE$6608,"No Encontrado",0)</f>
        <v>01 - RENOVADA</v>
      </c>
      <c r="F316" s="4" t="str">
        <f>IF(E316&lt;&gt;"",_xlfn.XLOOKUP(G316,pivot!$B$1:$B$34,pivot!$A$1:$A$34,"",0),"")</f>
        <v/>
      </c>
      <c r="G316" t="s">
        <v>8</v>
      </c>
      <c r="H316" t="s">
        <v>509</v>
      </c>
      <c r="M316" s="4">
        <f t="shared" si="4"/>
        <v>6</v>
      </c>
    </row>
    <row r="317" spans="1:13" hidden="1" x14ac:dyDescent="0.25">
      <c r="A317" t="s">
        <v>269</v>
      </c>
      <c r="B317" s="6">
        <v>69328</v>
      </c>
      <c r="C317" s="4" t="str">
        <f>_xlfn.XLOOKUP(B317,[1]ReportePolizaPorFiltroArribas!$G$1:$G$3955,[1]ReportePolizaPorFiltroArribas!$O$1:$O$3955,"No Encontrado",0)</f>
        <v>2026-04</v>
      </c>
      <c r="D317" s="4" t="str">
        <f>_xlfn.XLOOKUP(B317,[2]Tablero!$AP$1:$AP$6608,[2]Tablero!$AE$1:$AE$6608,"No Encontrado",0)</f>
        <v>01 - RENOVADA</v>
      </c>
      <c r="F317" s="4" t="str">
        <f>IF(E317&lt;&gt;"",_xlfn.XLOOKUP(G317,pivot!$B$1:$B$34,pivot!$A$1:$A$34,"",0),"")</f>
        <v/>
      </c>
      <c r="G317" t="s">
        <v>8</v>
      </c>
      <c r="H317" t="s">
        <v>509</v>
      </c>
      <c r="M317" s="4">
        <f t="shared" si="4"/>
        <v>6</v>
      </c>
    </row>
    <row r="318" spans="1:13" hidden="1" x14ac:dyDescent="0.25">
      <c r="A318" t="s">
        <v>270</v>
      </c>
      <c r="B318" s="6">
        <v>69329</v>
      </c>
      <c r="C318" s="4" t="str">
        <f>_xlfn.XLOOKUP(B318,[1]ReportePolizaPorFiltroArribas!$G$1:$G$3955,[1]ReportePolizaPorFiltroArribas!$O$1:$O$3955,"No Encontrado",0)</f>
        <v>2026-04</v>
      </c>
      <c r="D318" s="4" t="str">
        <f>_xlfn.XLOOKUP(B318,[2]Tablero!$AP$1:$AP$6608,[2]Tablero!$AE$1:$AE$6608,"No Encontrado",0)</f>
        <v>01 - RENOVADA</v>
      </c>
      <c r="F318" s="4" t="str">
        <f>IF(E318&lt;&gt;"",_xlfn.XLOOKUP(G318,pivot!$B$1:$B$34,pivot!$A$1:$A$34,"",0),"")</f>
        <v/>
      </c>
      <c r="G318" t="s">
        <v>8</v>
      </c>
      <c r="H318" t="s">
        <v>509</v>
      </c>
      <c r="M318" s="4">
        <f t="shared" si="4"/>
        <v>6</v>
      </c>
    </row>
    <row r="319" spans="1:13" hidden="1" x14ac:dyDescent="0.25">
      <c r="A319" t="s">
        <v>271</v>
      </c>
      <c r="B319" s="6">
        <v>1519228</v>
      </c>
      <c r="C319" s="4" t="str">
        <f>_xlfn.XLOOKUP(B319,[1]ReportePolizaPorFiltroArribas!$G$1:$G$3955,[1]ReportePolizaPorFiltroArribas!$O$1:$O$3955,"No Encontrado",0)</f>
        <v>2026-04</v>
      </c>
      <c r="D319" s="4" t="str">
        <f>_xlfn.XLOOKUP(B319,[2]Tablero!$AP$1:$AP$6608,[2]Tablero!$AE$1:$AE$6608,"No Encontrado",0)</f>
        <v>01 - RENOVADA</v>
      </c>
      <c r="F319" s="4" t="str">
        <f>IF(E319&lt;&gt;"",_xlfn.XLOOKUP(G319,pivot!$B$1:$B$34,pivot!$A$1:$A$34,"",0),"")</f>
        <v/>
      </c>
      <c r="G319" t="s">
        <v>7</v>
      </c>
      <c r="H319" t="s">
        <v>509</v>
      </c>
      <c r="M319" s="4">
        <f t="shared" si="4"/>
        <v>6</v>
      </c>
    </row>
    <row r="320" spans="1:13" hidden="1" x14ac:dyDescent="0.25">
      <c r="A320" t="s">
        <v>268</v>
      </c>
      <c r="B320" s="6">
        <v>61423</v>
      </c>
      <c r="C320" s="4" t="str">
        <f>_xlfn.XLOOKUP(B320,[1]ReportePolizaPorFiltroArribas!$G$1:$G$3955,[1]ReportePolizaPorFiltroArribas!$O$1:$O$3955,"No Encontrado",0)</f>
        <v>2026-05</v>
      </c>
      <c r="D320" s="4" t="str">
        <f>_xlfn.XLOOKUP(B320,[2]Tablero!$AP$1:$AP$6608,[2]Tablero!$AE$1:$AE$6608,"No Encontrado",0)</f>
        <v>01 - RENOVADA</v>
      </c>
      <c r="F320" s="4" t="str">
        <f>IF(E320&lt;&gt;"",_xlfn.XLOOKUP(G320,pivot!$B$1:$B$34,pivot!$A$1:$A$34,"",0),"")</f>
        <v/>
      </c>
      <c r="G320" t="s">
        <v>8</v>
      </c>
      <c r="H320" t="s">
        <v>509</v>
      </c>
      <c r="M320" s="4">
        <f t="shared" si="4"/>
        <v>6</v>
      </c>
    </row>
    <row r="321" spans="1:13" hidden="1" x14ac:dyDescent="0.25">
      <c r="A321" t="s">
        <v>272</v>
      </c>
      <c r="B321" s="6">
        <v>25652</v>
      </c>
      <c r="C321" s="4" t="str">
        <f>_xlfn.XLOOKUP(B321,[1]ReportePolizaPorFiltroArribas!$G$1:$G$3955,[1]ReportePolizaPorFiltroArribas!$O$1:$O$3955,"No Encontrado",0)</f>
        <v>2026-06</v>
      </c>
      <c r="D321" s="4" t="str">
        <f>_xlfn.XLOOKUP(B321,[2]Tablero!$AP$1:$AP$6608,[2]Tablero!$AE$1:$AE$6608,"No Encontrado",0)</f>
        <v>01 - RENOVADA</v>
      </c>
      <c r="F321" s="4" t="str">
        <f>IF(E321&lt;&gt;"",_xlfn.XLOOKUP(G321,pivot!$B$1:$B$34,pivot!$A$1:$A$34,"",0),"")</f>
        <v/>
      </c>
      <c r="G321" t="s">
        <v>38</v>
      </c>
      <c r="H321" t="s">
        <v>509</v>
      </c>
      <c r="M321" s="4">
        <f t="shared" si="4"/>
        <v>6</v>
      </c>
    </row>
    <row r="322" spans="1:13" hidden="1" x14ac:dyDescent="0.25">
      <c r="A322" t="s">
        <v>221</v>
      </c>
      <c r="B322" s="6">
        <v>4012001816</v>
      </c>
      <c r="C322" s="4" t="str">
        <f>_xlfn.XLOOKUP(B322,[1]ReportePolizaPorFiltroArribas!$G$1:$G$3955,[1]ReportePolizaPorFiltroArribas!$O$1:$O$3955,"No Encontrado",0)</f>
        <v>2026-06</v>
      </c>
      <c r="D322" s="4" t="str">
        <f>_xlfn.XLOOKUP(B322,[2]Tablero!$AP$1:$AP$6608,[2]Tablero!$AE$1:$AE$6608,"No Encontrado",0)</f>
        <v>01 - RENOVADA</v>
      </c>
      <c r="F322" s="4" t="str">
        <f>IF(E322&lt;&gt;"",_xlfn.XLOOKUP(G322,pivot!$B$1:$B$34,pivot!$A$1:$A$34,"",0),"")</f>
        <v/>
      </c>
      <c r="G322" t="s">
        <v>19</v>
      </c>
      <c r="H322" t="s">
        <v>509</v>
      </c>
      <c r="M322" s="4">
        <f t="shared" si="4"/>
        <v>6</v>
      </c>
    </row>
    <row r="323" spans="1:13" hidden="1" x14ac:dyDescent="0.25">
      <c r="A323" t="s">
        <v>108</v>
      </c>
      <c r="B323" s="6">
        <v>13482</v>
      </c>
      <c r="C323" s="4" t="str">
        <f>_xlfn.XLOOKUP(B323,[1]ReportePolizaPorFiltroArribas!$G$1:$G$3955,[1]ReportePolizaPorFiltroArribas!$O$1:$O$3955,"No Encontrado",0)</f>
        <v>2026-04</v>
      </c>
      <c r="D323" s="4" t="str">
        <f>_xlfn.XLOOKUP(B323,[2]Tablero!$AP$1:$AP$6608,[2]Tablero!$AE$1:$AE$6608,"No Encontrado",0)</f>
        <v>01 - RENOVADA</v>
      </c>
      <c r="F323" s="4" t="str">
        <f>IF(E323&lt;&gt;"",_xlfn.XLOOKUP(G323,pivot!$B$1:$B$34,pivot!$A$1:$A$34,"",0),"")</f>
        <v/>
      </c>
      <c r="G323" t="s">
        <v>9</v>
      </c>
      <c r="H323" t="s">
        <v>509</v>
      </c>
      <c r="M323" s="4">
        <f t="shared" ref="M323:M386" si="5">IF(C323&lt;=TEXT(H323,"YYYY-MM"),2,6)</f>
        <v>6</v>
      </c>
    </row>
    <row r="324" spans="1:13" hidden="1" x14ac:dyDescent="0.25">
      <c r="A324" t="s">
        <v>109</v>
      </c>
      <c r="B324" s="6">
        <v>4832</v>
      </c>
      <c r="C324" s="4" t="str">
        <f>_xlfn.XLOOKUP(B324,[1]ReportePolizaPorFiltroArribas!$G$1:$G$3955,[1]ReportePolizaPorFiltroArribas!$O$1:$O$3955,"No Encontrado",0)</f>
        <v>2026-06</v>
      </c>
      <c r="D324" s="4" t="str">
        <f>_xlfn.XLOOKUP(B324,[2]Tablero!$AP$1:$AP$6608,[2]Tablero!$AE$1:$AE$6608,"No Encontrado",0)</f>
        <v>01 - RENOVADA</v>
      </c>
      <c r="F324" s="4" t="str">
        <f>IF(E324&lt;&gt;"",_xlfn.XLOOKUP(G324,pivot!$B$1:$B$34,pivot!$A$1:$A$34,"",0),"")</f>
        <v/>
      </c>
      <c r="G324" t="s">
        <v>17</v>
      </c>
      <c r="H324" t="s">
        <v>509</v>
      </c>
      <c r="M324" s="4">
        <f t="shared" si="5"/>
        <v>6</v>
      </c>
    </row>
    <row r="325" spans="1:13" hidden="1" x14ac:dyDescent="0.25">
      <c r="A325" t="s">
        <v>273</v>
      </c>
      <c r="B325" s="6">
        <v>54366</v>
      </c>
      <c r="C325" s="4" t="str">
        <f>_xlfn.XLOOKUP(B325,[1]ReportePolizaPorFiltroArribas!$G$1:$G$3955,[1]ReportePolizaPorFiltroArribas!$O$1:$O$3955,"No Encontrado",0)</f>
        <v>2026-01</v>
      </c>
      <c r="D325" s="4" t="str">
        <f>_xlfn.XLOOKUP(B325,[2]Tablero!$AP$1:$AP$6608,[2]Tablero!$AE$1:$AE$6608,"No Encontrado",0)</f>
        <v>01 - RENOVADA</v>
      </c>
      <c r="F325" s="4" t="str">
        <f>IF(E325&lt;&gt;"",_xlfn.XLOOKUP(G325,pivot!$B$1:$B$34,pivot!$A$1:$A$34,"",0),"")</f>
        <v/>
      </c>
      <c r="G325" t="s">
        <v>9</v>
      </c>
      <c r="H325" t="s">
        <v>509</v>
      </c>
      <c r="M325" s="4">
        <f t="shared" si="5"/>
        <v>6</v>
      </c>
    </row>
    <row r="326" spans="1:13" hidden="1" x14ac:dyDescent="0.25">
      <c r="A326" t="s">
        <v>274</v>
      </c>
      <c r="B326" s="6">
        <v>4049</v>
      </c>
      <c r="C326" s="4" t="str">
        <f>_xlfn.XLOOKUP(B326,[1]ReportePolizaPorFiltroArribas!$G$1:$G$3955,[1]ReportePolizaPorFiltroArribas!$O$1:$O$3955,"No Encontrado",0)</f>
        <v>2026-09</v>
      </c>
      <c r="D326" s="4" t="str">
        <f>_xlfn.XLOOKUP(B326,[2]Tablero!$AP$1:$AP$6608,[2]Tablero!$AE$1:$AE$6608,"No Encontrado",0)</f>
        <v>01 - RENOVADA</v>
      </c>
      <c r="F326" s="4" t="str">
        <f>IF(E326&lt;&gt;"",_xlfn.XLOOKUP(G326,pivot!$B$1:$B$34,pivot!$A$1:$A$34,"",0),"")</f>
        <v/>
      </c>
      <c r="G326" t="s">
        <v>49</v>
      </c>
      <c r="H326" t="s">
        <v>509</v>
      </c>
      <c r="M326" s="4">
        <f t="shared" si="5"/>
        <v>6</v>
      </c>
    </row>
    <row r="327" spans="1:13" hidden="1" x14ac:dyDescent="0.25">
      <c r="A327" t="s">
        <v>127</v>
      </c>
      <c r="B327" s="6">
        <v>75504</v>
      </c>
      <c r="C327" s="4" t="str">
        <f>_xlfn.XLOOKUP(B327,[1]ReportePolizaPorFiltroArribas!$G$1:$G$3955,[1]ReportePolizaPorFiltroArribas!$O$1:$O$3955,"No Encontrado",0)</f>
        <v>2026-08</v>
      </c>
      <c r="D327" s="4" t="str">
        <f>_xlfn.XLOOKUP(B327,[2]Tablero!$AP$1:$AP$6608,[2]Tablero!$AE$1:$AE$6608,"No Encontrado",0)</f>
        <v>01 - RENOVADA</v>
      </c>
      <c r="F327" s="4" t="str">
        <f>IF(E327&lt;&gt;"",_xlfn.XLOOKUP(G327,pivot!$B$1:$B$34,pivot!$A$1:$A$34,"",0),"")</f>
        <v/>
      </c>
      <c r="G327" t="s">
        <v>8</v>
      </c>
      <c r="H327" t="s">
        <v>509</v>
      </c>
      <c r="M327" s="4">
        <f t="shared" si="5"/>
        <v>6</v>
      </c>
    </row>
    <row r="328" spans="1:13" hidden="1" x14ac:dyDescent="0.25">
      <c r="A328" t="s">
        <v>276</v>
      </c>
      <c r="B328" s="6">
        <v>91801</v>
      </c>
      <c r="C328" s="4" t="str">
        <f>_xlfn.XLOOKUP(B328,[1]ReportePolizaPorFiltroArribas!$G$1:$G$3955,[1]ReportePolizaPorFiltroArribas!$O$1:$O$3955,"No Encontrado",0)</f>
        <v>2026-09</v>
      </c>
      <c r="D328" s="4" t="str">
        <f>_xlfn.XLOOKUP(B328,[2]Tablero!$AP$1:$AP$6608,[2]Tablero!$AE$1:$AE$6608,"No Encontrado",0)</f>
        <v>01 - RENOVADA</v>
      </c>
      <c r="F328" s="4" t="str">
        <f>IF(E328&lt;&gt;"",_xlfn.XLOOKUP(G328,pivot!$B$1:$B$34,pivot!$A$1:$A$34,"",0),"")</f>
        <v/>
      </c>
      <c r="G328" t="s">
        <v>14</v>
      </c>
      <c r="H328" t="s">
        <v>509</v>
      </c>
      <c r="M328" s="4">
        <f t="shared" si="5"/>
        <v>6</v>
      </c>
    </row>
    <row r="329" spans="1:13" hidden="1" x14ac:dyDescent="0.25">
      <c r="A329" t="s">
        <v>261</v>
      </c>
      <c r="B329" s="6">
        <v>10896</v>
      </c>
      <c r="C329" s="4" t="str">
        <f>_xlfn.XLOOKUP(B329,[1]ReportePolizaPorFiltroArribas!$G$1:$G$3955,[1]ReportePolizaPorFiltroArribas!$O$1:$O$3955,"No Encontrado",0)</f>
        <v>2026-10</v>
      </c>
      <c r="D329" s="4" t="str">
        <f>_xlfn.XLOOKUP(B329,[2]Tablero!$AP$1:$AP$6608,[2]Tablero!$AE$1:$AE$6608,"No Encontrado",0)</f>
        <v>01 - RENOVADA</v>
      </c>
      <c r="F329" s="4" t="str">
        <f>IF(E329&lt;&gt;"",_xlfn.XLOOKUP(G329,pivot!$B$1:$B$34,pivot!$A$1:$A$34,"",0),"")</f>
        <v/>
      </c>
      <c r="G329" t="s">
        <v>17</v>
      </c>
      <c r="H329" t="s">
        <v>509</v>
      </c>
      <c r="M329" s="4">
        <f t="shared" si="5"/>
        <v>6</v>
      </c>
    </row>
    <row r="330" spans="1:13" hidden="1" x14ac:dyDescent="0.25">
      <c r="A330" t="s">
        <v>259</v>
      </c>
      <c r="B330" s="6">
        <v>98739</v>
      </c>
      <c r="C330" s="4" t="str">
        <f>_xlfn.XLOOKUP(B330,[1]ReportePolizaPorFiltroArribas!$G$1:$G$3955,[1]ReportePolizaPorFiltroArribas!$O$1:$O$3955,"No Encontrado",0)</f>
        <v>2026-09</v>
      </c>
      <c r="D330" s="4" t="str">
        <f>_xlfn.XLOOKUP(B330,[2]Tablero!$AP$1:$AP$6608,[2]Tablero!$AE$1:$AE$6608,"No Encontrado",0)</f>
        <v>01 - RENOVADA</v>
      </c>
      <c r="F330" s="4" t="str">
        <f>IF(E330&lt;&gt;"",_xlfn.XLOOKUP(G330,pivot!$B$1:$B$34,pivot!$A$1:$A$34,"",0),"")</f>
        <v/>
      </c>
      <c r="G330" t="s">
        <v>14</v>
      </c>
      <c r="H330" t="s">
        <v>509</v>
      </c>
      <c r="M330" s="4">
        <f t="shared" si="5"/>
        <v>6</v>
      </c>
    </row>
    <row r="331" spans="1:13" hidden="1" x14ac:dyDescent="0.25">
      <c r="A331" t="s">
        <v>104</v>
      </c>
      <c r="B331" s="6">
        <v>46625</v>
      </c>
      <c r="C331" s="4" t="str">
        <f>_xlfn.XLOOKUP(B331,[1]ReportePolizaPorFiltroArribas!$G$1:$G$3955,[1]ReportePolizaPorFiltroArribas!$O$1:$O$3955,"No Encontrado",0)</f>
        <v>2026-10</v>
      </c>
      <c r="D331" s="4" t="str">
        <f>_xlfn.XLOOKUP(B331,[2]Tablero!$AP$1:$AP$6608,[2]Tablero!$AE$1:$AE$6608,"No Encontrado",0)</f>
        <v>01 - RENOVADA</v>
      </c>
      <c r="F331" s="4" t="str">
        <f>IF(E331&lt;&gt;"",_xlfn.XLOOKUP(G331,pivot!$B$1:$B$34,pivot!$A$1:$A$34,"",0),"")</f>
        <v/>
      </c>
      <c r="G331" t="s">
        <v>9</v>
      </c>
      <c r="H331" t="s">
        <v>509</v>
      </c>
      <c r="M331" s="4">
        <f t="shared" si="5"/>
        <v>6</v>
      </c>
    </row>
    <row r="332" spans="1:13" hidden="1" x14ac:dyDescent="0.25">
      <c r="A332" t="s">
        <v>351</v>
      </c>
      <c r="B332" s="6">
        <v>105347</v>
      </c>
      <c r="C332" s="4" t="str">
        <f>_xlfn.XLOOKUP(B332,[1]ReportePolizaPorFiltroArribas!$G$1:$G$3955,[1]ReportePolizaPorFiltroArribas!$O$1:$O$3955,"No Encontrado",0)</f>
        <v>2026-08</v>
      </c>
      <c r="D332" s="4" t="str">
        <f>_xlfn.XLOOKUP(B332,[2]Tablero!$AP$1:$AP$6608,[2]Tablero!$AE$1:$AE$6608,"No Encontrado",0)</f>
        <v>03 - PENDIENTE</v>
      </c>
      <c r="F332" s="4" t="str">
        <f>IF(E332&lt;&gt;"",_xlfn.XLOOKUP(G332,pivot!$B$1:$B$34,pivot!$A$1:$A$34,"",0),"")</f>
        <v/>
      </c>
      <c r="G332" t="s">
        <v>14</v>
      </c>
      <c r="H332" t="s">
        <v>509</v>
      </c>
      <c r="M332" s="4">
        <f t="shared" si="5"/>
        <v>6</v>
      </c>
    </row>
    <row r="333" spans="1:13" hidden="1" x14ac:dyDescent="0.25">
      <c r="A333" t="s">
        <v>260</v>
      </c>
      <c r="B333" s="6">
        <v>7432</v>
      </c>
      <c r="C333" s="4" t="str">
        <f>_xlfn.XLOOKUP(B333,[1]ReportePolizaPorFiltroArribas!$G$1:$G$3955,[1]ReportePolizaPorFiltroArribas!$O$1:$O$3955,"No Encontrado",0)</f>
        <v>2026-10</v>
      </c>
      <c r="D333" s="4" t="str">
        <f>_xlfn.XLOOKUP(B333,[2]Tablero!$AP$1:$AP$6608,[2]Tablero!$AE$1:$AE$6608,"No Encontrado",0)</f>
        <v>01 - RENOVADA</v>
      </c>
      <c r="F333" s="4" t="str">
        <f>IF(E333&lt;&gt;"",_xlfn.XLOOKUP(G333,pivot!$B$1:$B$34,pivot!$A$1:$A$34,"",0),"")</f>
        <v/>
      </c>
      <c r="G333" t="s">
        <v>17</v>
      </c>
      <c r="H333" t="s">
        <v>509</v>
      </c>
      <c r="M333" s="4">
        <f t="shared" si="5"/>
        <v>6</v>
      </c>
    </row>
    <row r="334" spans="1:13" hidden="1" x14ac:dyDescent="0.25">
      <c r="A334" t="s">
        <v>263</v>
      </c>
      <c r="B334" s="6">
        <v>53567</v>
      </c>
      <c r="C334" s="4" t="str">
        <f>_xlfn.XLOOKUP(B334,[1]ReportePolizaPorFiltroArribas!$G$1:$G$3955,[1]ReportePolizaPorFiltroArribas!$O$1:$O$3955,"No Encontrado",0)</f>
        <v>2026-11</v>
      </c>
      <c r="D334" s="4" t="str">
        <f>_xlfn.XLOOKUP(B334,[2]Tablero!$AP$1:$AP$6608,[2]Tablero!$AE$1:$AE$6608,"No Encontrado",0)</f>
        <v>01 - RENOVADA</v>
      </c>
      <c r="F334" s="4" t="str">
        <f>IF(E334&lt;&gt;"",_xlfn.XLOOKUP(G334,pivot!$B$1:$B$34,pivot!$A$1:$A$34,"",0),"")</f>
        <v/>
      </c>
      <c r="G334" t="s">
        <v>9</v>
      </c>
      <c r="H334" t="s">
        <v>509</v>
      </c>
      <c r="M334" s="4">
        <f t="shared" si="5"/>
        <v>6</v>
      </c>
    </row>
    <row r="335" spans="1:13" hidden="1" x14ac:dyDescent="0.25">
      <c r="A335" t="s">
        <v>278</v>
      </c>
      <c r="B335" s="6">
        <v>54606</v>
      </c>
      <c r="C335" s="4" t="str">
        <f>_xlfn.XLOOKUP(B335,[1]ReportePolizaPorFiltroArribas!$G$1:$G$3955,[1]ReportePolizaPorFiltroArribas!$O$1:$O$3955,"No Encontrado",0)</f>
        <v>2026-10</v>
      </c>
      <c r="D335" s="4" t="str">
        <f>_xlfn.XLOOKUP(B335,[2]Tablero!$AP$1:$AP$6608,[2]Tablero!$AE$1:$AE$6608,"No Encontrado",0)</f>
        <v>No Encontrado</v>
      </c>
      <c r="F335" s="4" t="str">
        <f>IF(E335&lt;&gt;"",_xlfn.XLOOKUP(G335,pivot!$B$1:$B$34,pivot!$A$1:$A$34,"",0),"")</f>
        <v/>
      </c>
      <c r="G335" t="s">
        <v>9</v>
      </c>
      <c r="H335" t="s">
        <v>509</v>
      </c>
      <c r="M335" s="4">
        <f t="shared" si="5"/>
        <v>6</v>
      </c>
    </row>
    <row r="336" spans="1:13" hidden="1" x14ac:dyDescent="0.25">
      <c r="A336" t="s">
        <v>105</v>
      </c>
      <c r="B336" s="6">
        <v>51101</v>
      </c>
      <c r="C336" s="4" t="str">
        <f>_xlfn.XLOOKUP(B336,[1]ReportePolizaPorFiltroArribas!$G$1:$G$3955,[1]ReportePolizaPorFiltroArribas!$O$1:$O$3955,"No Encontrado",0)</f>
        <v>2026-10</v>
      </c>
      <c r="D336" s="4" t="str">
        <f>_xlfn.XLOOKUP(B336,[2]Tablero!$AP$1:$AP$6608,[2]Tablero!$AE$1:$AE$6608,"No Encontrado",0)</f>
        <v>01 - RENOVADA</v>
      </c>
      <c r="F336" s="4" t="str">
        <f>IF(E336&lt;&gt;"",_xlfn.XLOOKUP(G336,pivot!$B$1:$B$34,pivot!$A$1:$A$34,"",0),"")</f>
        <v/>
      </c>
      <c r="G336" t="s">
        <v>9</v>
      </c>
      <c r="H336" t="s">
        <v>509</v>
      </c>
      <c r="M336" s="4">
        <f t="shared" si="5"/>
        <v>6</v>
      </c>
    </row>
    <row r="337" spans="1:13" hidden="1" x14ac:dyDescent="0.25">
      <c r="A337" t="s">
        <v>304</v>
      </c>
      <c r="B337" s="6">
        <v>1506952</v>
      </c>
      <c r="C337" s="4" t="str">
        <f>_xlfn.XLOOKUP(B337,[1]ReportePolizaPorFiltroArribas!$G$1:$G$3955,[1]ReportePolizaPorFiltroArribas!$O$1:$O$3955,"No Encontrado",0)</f>
        <v>2026-03</v>
      </c>
      <c r="D337" s="4" t="str">
        <f>_xlfn.XLOOKUP(B337,[2]Tablero!$AP$1:$AP$6608,[2]Tablero!$AE$1:$AE$6608,"No Encontrado",0)</f>
        <v>01 - RENOVADA</v>
      </c>
      <c r="F337" s="4" t="str">
        <f>IF(E337&lt;&gt;"",_xlfn.XLOOKUP(G337,pivot!$B$1:$B$34,pivot!$A$1:$A$34,"",0),"")</f>
        <v/>
      </c>
      <c r="G337" t="s">
        <v>7</v>
      </c>
      <c r="H337" t="s">
        <v>374</v>
      </c>
      <c r="M337" s="4">
        <f t="shared" si="5"/>
        <v>6</v>
      </c>
    </row>
    <row r="338" spans="1:13" hidden="1" x14ac:dyDescent="0.25">
      <c r="A338" t="s">
        <v>278</v>
      </c>
      <c r="B338" s="6">
        <v>54488</v>
      </c>
      <c r="C338" s="4" t="str">
        <f>_xlfn.XLOOKUP(B338,[1]ReportePolizaPorFiltroArribas!$G$1:$G$3955,[1]ReportePolizaPorFiltroArribas!$O$1:$O$3955,"No Encontrado",0)</f>
        <v>2026-07</v>
      </c>
      <c r="D338" s="4" t="str">
        <f>_xlfn.XLOOKUP(B338,[2]Tablero!$AP$1:$AP$6608,[2]Tablero!$AE$1:$AE$6608,"No Encontrado",0)</f>
        <v>01 - RENOVADA</v>
      </c>
      <c r="F338" s="4" t="str">
        <f>IF(E338&lt;&gt;"",_xlfn.XLOOKUP(G338,pivot!$B$1:$B$34,pivot!$A$1:$A$34,"",0),"")</f>
        <v/>
      </c>
      <c r="G338" t="s">
        <v>9</v>
      </c>
      <c r="H338" t="s">
        <v>374</v>
      </c>
      <c r="M338" s="4">
        <f t="shared" si="5"/>
        <v>6</v>
      </c>
    </row>
    <row r="339" spans="1:13" hidden="1" x14ac:dyDescent="0.25">
      <c r="A339" t="s">
        <v>351</v>
      </c>
      <c r="B339" s="6">
        <v>105360</v>
      </c>
      <c r="C339" s="4" t="str">
        <f>_xlfn.XLOOKUP(B339,[1]ReportePolizaPorFiltroArribas!$G$1:$G$3955,[1]ReportePolizaPorFiltroArribas!$O$1:$O$3955,"No Encontrado",0)</f>
        <v>2026-08</v>
      </c>
      <c r="D339" s="4" t="str">
        <f>_xlfn.XLOOKUP(B339,[2]Tablero!$AP$1:$AP$6608,[2]Tablero!$AE$1:$AE$6608,"No Encontrado",0)</f>
        <v>03 - PENDIENTE</v>
      </c>
      <c r="F339" s="4" t="str">
        <f>IF(E339&lt;&gt;"",_xlfn.XLOOKUP(G339,pivot!$B$1:$B$34,pivot!$A$1:$A$34,"",0),"")</f>
        <v/>
      </c>
      <c r="G339" t="s">
        <v>14</v>
      </c>
      <c r="H339" t="s">
        <v>374</v>
      </c>
      <c r="M339" s="4">
        <f t="shared" si="5"/>
        <v>6</v>
      </c>
    </row>
    <row r="340" spans="1:13" hidden="1" x14ac:dyDescent="0.25">
      <c r="A340" t="s">
        <v>409</v>
      </c>
      <c r="B340" s="6">
        <v>1573568</v>
      </c>
      <c r="C340" s="4" t="str">
        <f>_xlfn.XLOOKUP(B340,[1]ReportePolizaPorFiltroArribas!$G$1:$G$3955,[1]ReportePolizaPorFiltroArribas!$O$1:$O$3955,"No Encontrado",0)</f>
        <v>2026-10</v>
      </c>
      <c r="D340" s="4" t="str">
        <f>_xlfn.XLOOKUP(B340,[2]Tablero!$AP$1:$AP$6608,[2]Tablero!$AE$1:$AE$6608,"No Encontrado",0)</f>
        <v>01 - RENOVADA</v>
      </c>
      <c r="F340" s="4" t="str">
        <f>IF(E340&lt;&gt;"",_xlfn.XLOOKUP(G340,pivot!$B$1:$B$34,pivot!$A$1:$A$34,"",0),"")</f>
        <v/>
      </c>
      <c r="G340" t="s">
        <v>7</v>
      </c>
      <c r="H340" t="s">
        <v>374</v>
      </c>
      <c r="M340" s="4">
        <f t="shared" si="5"/>
        <v>6</v>
      </c>
    </row>
    <row r="341" spans="1:13" hidden="1" x14ac:dyDescent="0.25">
      <c r="A341" t="s">
        <v>103</v>
      </c>
      <c r="B341" s="6">
        <v>1573575</v>
      </c>
      <c r="C341" s="4" t="str">
        <f>_xlfn.XLOOKUP(B341,[1]ReportePolizaPorFiltroArribas!$G$1:$G$3955,[1]ReportePolizaPorFiltroArribas!$O$1:$O$3955,"No Encontrado",0)</f>
        <v>2026-10</v>
      </c>
      <c r="D341" s="4" t="str">
        <f>_xlfn.XLOOKUP(B341,[2]Tablero!$AP$1:$AP$6608,[2]Tablero!$AE$1:$AE$6608,"No Encontrado",0)</f>
        <v>01 - RENOVADA</v>
      </c>
      <c r="F341" s="4" t="str">
        <f>IF(E341&lt;&gt;"",_xlfn.XLOOKUP(G341,pivot!$B$1:$B$34,pivot!$A$1:$A$34,"",0),"")</f>
        <v/>
      </c>
      <c r="G341" t="s">
        <v>7</v>
      </c>
      <c r="H341" t="s">
        <v>374</v>
      </c>
      <c r="M341" s="4">
        <f t="shared" si="5"/>
        <v>6</v>
      </c>
    </row>
    <row r="342" spans="1:13" hidden="1" x14ac:dyDescent="0.25">
      <c r="A342" t="s">
        <v>115</v>
      </c>
      <c r="B342" s="6">
        <v>54654</v>
      </c>
      <c r="C342" s="4" t="str">
        <f>_xlfn.XLOOKUP(B342,[1]ReportePolizaPorFiltroArribas!$G$1:$G$3955,[1]ReportePolizaPorFiltroArribas!$O$1:$O$3955,"No Encontrado",0)</f>
        <v>2026-09</v>
      </c>
      <c r="D342" s="4" t="str">
        <f>_xlfn.XLOOKUP(B342,[2]Tablero!$AP$1:$AP$6608,[2]Tablero!$AE$1:$AE$6608,"No Encontrado",0)</f>
        <v>No Encontrado</v>
      </c>
      <c r="F342" s="4" t="str">
        <f>IF(E342&lt;&gt;"",_xlfn.XLOOKUP(G342,pivot!$B$1:$B$34,pivot!$A$1:$A$34,"",0),"")</f>
        <v/>
      </c>
      <c r="G342" t="s">
        <v>9</v>
      </c>
      <c r="H342" t="s">
        <v>374</v>
      </c>
      <c r="M342" s="4">
        <f t="shared" si="5"/>
        <v>6</v>
      </c>
    </row>
    <row r="343" spans="1:13" hidden="1" x14ac:dyDescent="0.25">
      <c r="A343" t="s">
        <v>498</v>
      </c>
      <c r="B343" s="6" t="s">
        <v>499</v>
      </c>
      <c r="C343" s="4" t="str">
        <f>_xlfn.XLOOKUP(B343,[1]ReportePolizaPorFiltroArribas!$G$1:$G$3955,[1]ReportePolizaPorFiltroArribas!$O$1:$O$3955,"No Encontrado",0)</f>
        <v>2026-10</v>
      </c>
      <c r="D343" s="4" t="str">
        <f>_xlfn.XLOOKUP(B343,[2]Tablero!$AP$1:$AP$6608,[2]Tablero!$AE$1:$AE$6608,"No Encontrado",0)</f>
        <v>01 - RENOVADA</v>
      </c>
      <c r="F343" s="4" t="str">
        <f>IF(E343&lt;&gt;"",_xlfn.XLOOKUP(G343,pivot!$B$1:$B$34,pivot!$A$1:$A$34,"",0),"")</f>
        <v/>
      </c>
      <c r="G343" t="s">
        <v>4</v>
      </c>
      <c r="H343" t="s">
        <v>374</v>
      </c>
      <c r="M343" s="4">
        <f t="shared" si="5"/>
        <v>6</v>
      </c>
    </row>
    <row r="344" spans="1:13" hidden="1" x14ac:dyDescent="0.25">
      <c r="A344" t="s">
        <v>431</v>
      </c>
      <c r="B344" s="6">
        <v>1573574</v>
      </c>
      <c r="C344" s="4" t="str">
        <f>_xlfn.XLOOKUP(B344,[1]ReportePolizaPorFiltroArribas!$G$1:$G$3955,[1]ReportePolizaPorFiltroArribas!$O$1:$O$3955,"No Encontrado",0)</f>
        <v>2026-10</v>
      </c>
      <c r="D344" s="4" t="str">
        <f>_xlfn.XLOOKUP(B344,[2]Tablero!$AP$1:$AP$6608,[2]Tablero!$AE$1:$AE$6608,"No Encontrado",0)</f>
        <v>01 - RENOVADA</v>
      </c>
      <c r="F344" s="4" t="str">
        <f>IF(E344&lt;&gt;"",_xlfn.XLOOKUP(G344,pivot!$B$1:$B$34,pivot!$A$1:$A$34,"",0),"")</f>
        <v/>
      </c>
      <c r="G344" t="s">
        <v>7</v>
      </c>
      <c r="H344" t="s">
        <v>440</v>
      </c>
      <c r="M344" s="4">
        <f t="shared" si="5"/>
        <v>6</v>
      </c>
    </row>
    <row r="345" spans="1:13" hidden="1" x14ac:dyDescent="0.25">
      <c r="A345" t="s">
        <v>92</v>
      </c>
      <c r="B345" s="6">
        <v>67288266</v>
      </c>
      <c r="C345" s="4" t="str">
        <f>_xlfn.XLOOKUP(B345,[1]ReportePolizaPorFiltroArribas!$G$1:$G$3955,[1]ReportePolizaPorFiltroArribas!$O$1:$O$3955,"No Encontrado",0)</f>
        <v>2026-03</v>
      </c>
      <c r="D345" s="4" t="str">
        <f>_xlfn.XLOOKUP(B345,[2]Tablero!$AP$1:$AP$6608,[2]Tablero!$AE$1:$AE$6608,"No Encontrado",0)</f>
        <v>03 - PENDIENTE</v>
      </c>
      <c r="E345" s="9"/>
      <c r="F345" s="4" t="str">
        <f>IF(E345&lt;&gt;"",_xlfn.XLOOKUP(G345,pivot!$B$1:$B$34,pivot!$A$1:$A$34,"",0),"")</f>
        <v/>
      </c>
      <c r="G345" t="s">
        <v>10</v>
      </c>
      <c r="H345" t="s">
        <v>440</v>
      </c>
      <c r="M345" s="4">
        <f t="shared" si="5"/>
        <v>6</v>
      </c>
    </row>
    <row r="346" spans="1:13" hidden="1" x14ac:dyDescent="0.25">
      <c r="A346" t="s">
        <v>500</v>
      </c>
      <c r="B346" s="6">
        <v>1300411382</v>
      </c>
      <c r="C346" s="4" t="str">
        <f>_xlfn.XLOOKUP(B346,[1]ReportePolizaPorFiltroArribas!$G$1:$G$3955,[1]ReportePolizaPorFiltroArribas!$O$1:$O$3955,"No Encontrado",0)</f>
        <v>2026-06</v>
      </c>
      <c r="D346" s="4" t="str">
        <f>_xlfn.XLOOKUP(B346,[2]Tablero!$AP$1:$AP$6608,[2]Tablero!$AE$1:$AE$6608,"No Encontrado",0)</f>
        <v>01 - RENOVADA</v>
      </c>
      <c r="E346" s="9"/>
      <c r="F346" s="4" t="str">
        <f>IF(E346&lt;&gt;"",_xlfn.XLOOKUP(G346,pivot!$B$1:$B$34,pivot!$A$1:$A$34,"",0),"")</f>
        <v/>
      </c>
      <c r="G346" s="6" t="s">
        <v>54</v>
      </c>
      <c r="H346" t="s">
        <v>440</v>
      </c>
      <c r="M346" s="4">
        <f t="shared" si="5"/>
        <v>6</v>
      </c>
    </row>
    <row r="347" spans="1:13" hidden="1" x14ac:dyDescent="0.25">
      <c r="A347" t="s">
        <v>492</v>
      </c>
      <c r="B347" s="6">
        <v>172758</v>
      </c>
      <c r="C347" s="4" t="str">
        <f>_xlfn.XLOOKUP(B347,[1]ReportePolizaPorFiltroArribas!$G$1:$G$3955,[1]ReportePolizaPorFiltroArribas!$O$1:$O$3955,"No Encontrado",0)</f>
        <v>2026-01</v>
      </c>
      <c r="D347" s="4" t="str">
        <f>_xlfn.XLOOKUP(B347,[2]Tablero!$AP$1:$AP$6608,[2]Tablero!$AE$1:$AE$6608,"No Encontrado",0)</f>
        <v>01 - RENOVADA</v>
      </c>
      <c r="E347" s="9"/>
      <c r="F347" s="4" t="str">
        <f>IF(E347&lt;&gt;"",_xlfn.XLOOKUP(G347,pivot!$B$1:$B$34,pivot!$A$1:$A$34,"",0),"")</f>
        <v/>
      </c>
      <c r="G347" t="s">
        <v>10</v>
      </c>
      <c r="H347" t="s">
        <v>440</v>
      </c>
      <c r="M347" s="4">
        <f t="shared" si="5"/>
        <v>6</v>
      </c>
    </row>
    <row r="348" spans="1:13" hidden="1" x14ac:dyDescent="0.25">
      <c r="A348" t="s">
        <v>388</v>
      </c>
      <c r="B348" s="6" t="s">
        <v>389</v>
      </c>
      <c r="C348" s="4" t="str">
        <f>_xlfn.XLOOKUP(B348,[1]ReportePolizaPorFiltroArribas!$G$1:$G$3955,[1]ReportePolizaPorFiltroArribas!$O$1:$O$3955,"No Encontrado",0)</f>
        <v>2026-02</v>
      </c>
      <c r="D348" s="4" t="str">
        <f>_xlfn.XLOOKUP(B348,[2]Tablero!$AP$1:$AP$6608,[2]Tablero!$AE$1:$AE$6608,"No Encontrado",0)</f>
        <v>01 - RENOVADA</v>
      </c>
      <c r="E348" s="9"/>
      <c r="F348" s="4" t="str">
        <f>IF(E348&lt;&gt;"",_xlfn.XLOOKUP(G348,pivot!$B$1:$B$34,pivot!$A$1:$A$34,"",0),"")</f>
        <v/>
      </c>
      <c r="G348" t="s">
        <v>4</v>
      </c>
      <c r="H348" t="s">
        <v>440</v>
      </c>
      <c r="M348" s="4">
        <f t="shared" si="5"/>
        <v>6</v>
      </c>
    </row>
    <row r="349" spans="1:13" hidden="1" x14ac:dyDescent="0.25">
      <c r="A349" t="s">
        <v>342</v>
      </c>
      <c r="B349" s="6" t="s">
        <v>343</v>
      </c>
      <c r="C349" s="4" t="str">
        <f>_xlfn.XLOOKUP(B349,[1]ReportePolizaPorFiltroArribas!$G$1:$G$3955,[1]ReportePolizaPorFiltroArribas!$O$1:$O$3955,"No Encontrado",0)</f>
        <v>2026-03</v>
      </c>
      <c r="D349" s="4" t="str">
        <f>_xlfn.XLOOKUP(B349,[2]Tablero!$AP$1:$AP$6608,[2]Tablero!$AE$1:$AE$6608,"No Encontrado",0)</f>
        <v>01 - RENOVADA</v>
      </c>
      <c r="E349" s="9"/>
      <c r="F349" s="4" t="str">
        <f>IF(E349&lt;&gt;"",_xlfn.XLOOKUP(G349,pivot!$B$1:$B$34,pivot!$A$1:$A$34,"",0),"")</f>
        <v/>
      </c>
      <c r="G349" t="s">
        <v>4</v>
      </c>
      <c r="H349" t="s">
        <v>440</v>
      </c>
      <c r="M349" s="4">
        <f t="shared" si="5"/>
        <v>6</v>
      </c>
    </row>
    <row r="350" spans="1:13" hidden="1" x14ac:dyDescent="0.25">
      <c r="A350" t="s">
        <v>390</v>
      </c>
      <c r="B350" s="6" t="s">
        <v>391</v>
      </c>
      <c r="C350" s="4" t="str">
        <f>_xlfn.XLOOKUP(B350,[1]ReportePolizaPorFiltroArribas!$G$1:$G$3955,[1]ReportePolizaPorFiltroArribas!$O$1:$O$3955,"No Encontrado",0)</f>
        <v>2026-04</v>
      </c>
      <c r="D350" s="4" t="str">
        <f>_xlfn.XLOOKUP(B350,[2]Tablero!$AP$1:$AP$6608,[2]Tablero!$AE$1:$AE$6608,"No Encontrado",0)</f>
        <v>01 - RENOVADA</v>
      </c>
      <c r="E350" s="9"/>
      <c r="F350" s="4" t="str">
        <f>IF(E350&lt;&gt;"",_xlfn.XLOOKUP(G350,pivot!$B$1:$B$34,pivot!$A$1:$A$34,"",0),"")</f>
        <v/>
      </c>
      <c r="G350" t="s">
        <v>4</v>
      </c>
      <c r="H350" t="s">
        <v>440</v>
      </c>
      <c r="M350" s="4">
        <f t="shared" si="5"/>
        <v>6</v>
      </c>
    </row>
    <row r="351" spans="1:13" hidden="1" x14ac:dyDescent="0.25">
      <c r="A351" t="s">
        <v>501</v>
      </c>
      <c r="B351" s="6" t="s">
        <v>502</v>
      </c>
      <c r="C351" s="4" t="str">
        <f>_xlfn.XLOOKUP(B351,[1]ReportePolizaPorFiltroArribas!$G$1:$G$3955,[1]ReportePolizaPorFiltroArribas!$O$1:$O$3955,"No Encontrado",0)</f>
        <v>2026-02</v>
      </c>
      <c r="D351" s="4" t="str">
        <f>_xlfn.XLOOKUP(B351,[2]Tablero!$AP$1:$AP$6608,[2]Tablero!$AE$1:$AE$6608,"No Encontrado",0)</f>
        <v>01 - RENOVADA</v>
      </c>
      <c r="F351" s="4" t="str">
        <f>IF(E351&lt;&gt;"",_xlfn.XLOOKUP(G351,pivot!$B$1:$B$34,pivot!$A$1:$A$34,"",0),"")</f>
        <v/>
      </c>
      <c r="G351" t="s">
        <v>4</v>
      </c>
      <c r="H351" t="s">
        <v>440</v>
      </c>
      <c r="M351" s="4">
        <f t="shared" si="5"/>
        <v>6</v>
      </c>
    </row>
    <row r="352" spans="1:13" hidden="1" x14ac:dyDescent="0.25">
      <c r="A352" t="s">
        <v>148</v>
      </c>
      <c r="B352" s="6">
        <v>1490594</v>
      </c>
      <c r="C352" s="4" t="str">
        <f>_xlfn.XLOOKUP(B352,[1]ReportePolizaPorFiltroArribas!$G$1:$G$3955,[1]ReportePolizaPorFiltroArribas!$O$1:$O$3955,"No Encontrado",0)</f>
        <v>2026-01</v>
      </c>
      <c r="D352" s="4" t="str">
        <f>_xlfn.XLOOKUP(B352,[2]Tablero!$AP$1:$AP$6608,[2]Tablero!$AE$1:$AE$6608,"No Encontrado",0)</f>
        <v>01 - RENOVADA</v>
      </c>
      <c r="F352" s="4" t="str">
        <f>IF(E352&lt;&gt;"",_xlfn.XLOOKUP(G352,pivot!$B$1:$B$34,pivot!$A$1:$A$34,"",0),"")</f>
        <v/>
      </c>
      <c r="G352" t="s">
        <v>7</v>
      </c>
      <c r="H352" t="s">
        <v>440</v>
      </c>
      <c r="M352" s="4">
        <f t="shared" si="5"/>
        <v>6</v>
      </c>
    </row>
    <row r="353" spans="1:13" hidden="1" x14ac:dyDescent="0.25">
      <c r="A353" t="s">
        <v>279</v>
      </c>
      <c r="B353" s="6">
        <v>1506821</v>
      </c>
      <c r="C353" s="4" t="str">
        <f>_xlfn.XLOOKUP(B353,[1]ReportePolizaPorFiltroArribas!$G$1:$G$3955,[1]ReportePolizaPorFiltroArribas!$O$1:$O$3955,"No Encontrado",0)</f>
        <v>2026-03</v>
      </c>
      <c r="D353" s="4" t="str">
        <f>_xlfn.XLOOKUP(B353,[2]Tablero!$AP$1:$AP$6608,[2]Tablero!$AE$1:$AE$6608,"No Encontrado",0)</f>
        <v>01 - RENOVADA</v>
      </c>
      <c r="F353" s="4" t="str">
        <f>IF(E353&lt;&gt;"",_xlfn.XLOOKUP(G353,pivot!$B$1:$B$34,pivot!$A$1:$A$34,"",0),"")</f>
        <v/>
      </c>
      <c r="G353" t="s">
        <v>7</v>
      </c>
      <c r="H353" t="s">
        <v>440</v>
      </c>
      <c r="M353" s="4">
        <f t="shared" si="5"/>
        <v>6</v>
      </c>
    </row>
    <row r="354" spans="1:13" hidden="1" x14ac:dyDescent="0.25">
      <c r="A354" t="s">
        <v>280</v>
      </c>
      <c r="B354" s="6">
        <v>52017</v>
      </c>
      <c r="C354" s="4" t="str">
        <f>_xlfn.XLOOKUP(B354,[1]ReportePolizaPorFiltroArribas!$G$1:$G$3955,[1]ReportePolizaPorFiltroArribas!$O$1:$O$3955,"No Encontrado",0)</f>
        <v>2026-08</v>
      </c>
      <c r="D354" s="4" t="str">
        <f>_xlfn.XLOOKUP(B354,[2]Tablero!$AP$1:$AP$6608,[2]Tablero!$AE$1:$AE$6608,"No Encontrado",0)</f>
        <v>01 - RENOVADA</v>
      </c>
      <c r="E354" s="9"/>
      <c r="F354" s="4" t="str">
        <f>IF(E354&lt;&gt;"",_xlfn.XLOOKUP(G354,pivot!$B$1:$B$34,pivot!$A$1:$A$34,"",0),"")</f>
        <v/>
      </c>
      <c r="G354" t="s">
        <v>9</v>
      </c>
      <c r="H354" t="s">
        <v>440</v>
      </c>
      <c r="M354" s="4">
        <f t="shared" si="5"/>
        <v>6</v>
      </c>
    </row>
    <row r="355" spans="1:13" hidden="1" x14ac:dyDescent="0.25">
      <c r="A355" t="s">
        <v>281</v>
      </c>
      <c r="B355" s="6">
        <v>54020</v>
      </c>
      <c r="C355" s="4" t="str">
        <f>_xlfn.XLOOKUP(B355,[1]ReportePolizaPorFiltroArribas!$G$1:$G$3955,[1]ReportePolizaPorFiltroArribas!$O$1:$O$3955,"No Encontrado",0)</f>
        <v>2026-03</v>
      </c>
      <c r="D355" s="4" t="str">
        <f>_xlfn.XLOOKUP(B355,[2]Tablero!$AP$1:$AP$6608,[2]Tablero!$AE$1:$AE$6608,"No Encontrado",0)</f>
        <v>01 - RENOVADA</v>
      </c>
      <c r="F355" s="4" t="str">
        <f>IF(E355&lt;&gt;"",_xlfn.XLOOKUP(G355,pivot!$B$1:$B$34,pivot!$A$1:$A$34,"",0),"")</f>
        <v/>
      </c>
      <c r="G355" t="s">
        <v>9</v>
      </c>
      <c r="H355" t="s">
        <v>460</v>
      </c>
      <c r="M355" s="4">
        <f t="shared" si="5"/>
        <v>6</v>
      </c>
    </row>
    <row r="356" spans="1:13" hidden="1" x14ac:dyDescent="0.25">
      <c r="A356" t="s">
        <v>341</v>
      </c>
      <c r="B356" s="6">
        <v>76097</v>
      </c>
      <c r="C356" s="4" t="str">
        <f>_xlfn.XLOOKUP(B356,[1]ReportePolizaPorFiltroArribas!$G$1:$G$3955,[1]ReportePolizaPorFiltroArribas!$O$1:$O$3955,"No Encontrado",0)</f>
        <v>2026-10</v>
      </c>
      <c r="D356" s="4" t="str">
        <f>_xlfn.XLOOKUP(B356,[2]Tablero!$AP$1:$AP$6608,[2]Tablero!$AE$1:$AE$6608,"No Encontrado",0)</f>
        <v>No Encontrado</v>
      </c>
      <c r="F356" s="4" t="str">
        <f>IF(E356&lt;&gt;"",_xlfn.XLOOKUP(G356,pivot!$B$1:$B$34,pivot!$A$1:$A$34,"",0),"")</f>
        <v/>
      </c>
      <c r="G356" t="s">
        <v>8</v>
      </c>
      <c r="H356" t="s">
        <v>460</v>
      </c>
      <c r="M356" s="4">
        <f t="shared" si="5"/>
        <v>6</v>
      </c>
    </row>
    <row r="357" spans="1:13" hidden="1" x14ac:dyDescent="0.25">
      <c r="A357" t="s">
        <v>305</v>
      </c>
      <c r="B357" s="6">
        <v>64442</v>
      </c>
      <c r="C357" s="4" t="str">
        <f>_xlfn.XLOOKUP(B357,[1]ReportePolizaPorFiltroArribas!$G$1:$G$3955,[1]ReportePolizaPorFiltroArribas!$O$1:$O$3955,"No Encontrado",0)</f>
        <v>2026-09</v>
      </c>
      <c r="D357" s="4" t="str">
        <f>_xlfn.XLOOKUP(B357,[2]Tablero!$AP$1:$AP$6608,[2]Tablero!$AE$1:$AE$6608,"No Encontrado",0)</f>
        <v>01 - RENOVADA</v>
      </c>
      <c r="F357" s="4" t="str">
        <f>IF(E357&lt;&gt;"",_xlfn.XLOOKUP(G357,pivot!$B$1:$B$34,pivot!$A$1:$A$34,"",0),"")</f>
        <v/>
      </c>
      <c r="G357" t="s">
        <v>8</v>
      </c>
      <c r="H357" t="s">
        <v>460</v>
      </c>
      <c r="M357" s="4">
        <f t="shared" si="5"/>
        <v>6</v>
      </c>
    </row>
    <row r="358" spans="1:13" hidden="1" x14ac:dyDescent="0.25">
      <c r="A358" t="s">
        <v>284</v>
      </c>
      <c r="B358" s="6">
        <v>31701</v>
      </c>
      <c r="C358" s="4" t="str">
        <f>_xlfn.XLOOKUP(B358,[1]ReportePolizaPorFiltroArribas!$G$1:$G$3955,[1]ReportePolizaPorFiltroArribas!$O$1:$O$3955,"No Encontrado",0)</f>
        <v>2026-05</v>
      </c>
      <c r="D358" s="4" t="str">
        <f>_xlfn.XLOOKUP(B358,[2]Tablero!$AP$1:$AP$6608,[2]Tablero!$AE$1:$AE$6608,"No Encontrado",0)</f>
        <v>01 - RENOVADA</v>
      </c>
      <c r="F358" s="4" t="str">
        <f>IF(E358&lt;&gt;"",_xlfn.XLOOKUP(G358,pivot!$B$1:$B$34,pivot!$A$1:$A$34,"",0),"")</f>
        <v/>
      </c>
      <c r="G358" t="s">
        <v>8</v>
      </c>
      <c r="H358" t="s">
        <v>404</v>
      </c>
      <c r="M358" s="4">
        <f t="shared" si="5"/>
        <v>6</v>
      </c>
    </row>
    <row r="359" spans="1:13" hidden="1" x14ac:dyDescent="0.25">
      <c r="A359" t="s">
        <v>286</v>
      </c>
      <c r="B359" s="6">
        <v>71093</v>
      </c>
      <c r="C359" s="4" t="str">
        <f>_xlfn.XLOOKUP(B359,[1]ReportePolizaPorFiltroArribas!$G$1:$G$3955,[1]ReportePolizaPorFiltroArribas!$O$1:$O$3955,"No Encontrado",0)</f>
        <v>2026-09</v>
      </c>
      <c r="D359" s="4" t="str">
        <f>_xlfn.XLOOKUP(B359,[2]Tablero!$AP$1:$AP$6608,[2]Tablero!$AE$1:$AE$6608,"No Encontrado",0)</f>
        <v>01 - RENOVADA</v>
      </c>
      <c r="E359" s="9"/>
      <c r="F359" s="4" t="str">
        <f>IF(E359&lt;&gt;"",_xlfn.XLOOKUP(G359,pivot!$B$1:$B$34,pivot!$A$1:$A$34,"",0),"")</f>
        <v/>
      </c>
      <c r="G359" t="s">
        <v>8</v>
      </c>
      <c r="H359" t="s">
        <v>404</v>
      </c>
      <c r="M359" s="4">
        <f t="shared" si="5"/>
        <v>6</v>
      </c>
    </row>
    <row r="360" spans="1:13" hidden="1" x14ac:dyDescent="0.25">
      <c r="A360" t="s">
        <v>396</v>
      </c>
      <c r="B360" s="6">
        <v>4012000455</v>
      </c>
      <c r="C360" s="4" t="str">
        <f>_xlfn.XLOOKUP(B360,[1]ReportePolizaPorFiltroArribas!$G$1:$G$3955,[1]ReportePolizaPorFiltroArribas!$O$1:$O$3955,"No Encontrado",0)</f>
        <v>2026-11</v>
      </c>
      <c r="D360" s="4" t="str">
        <f>_xlfn.XLOOKUP(B360,[2]Tablero!$AP$1:$AP$6608,[2]Tablero!$AE$1:$AE$6608,"No Encontrado",0)</f>
        <v>01 - RENOVADA</v>
      </c>
      <c r="F360" s="4" t="str">
        <f>IF(E360&lt;&gt;"",_xlfn.XLOOKUP(G360,pivot!$B$1:$B$34,pivot!$A$1:$A$34,"",0),"")</f>
        <v/>
      </c>
      <c r="G360" t="s">
        <v>19</v>
      </c>
      <c r="H360" t="s">
        <v>404</v>
      </c>
      <c r="M360" s="4">
        <f t="shared" si="5"/>
        <v>6</v>
      </c>
    </row>
    <row r="361" spans="1:13" hidden="1" x14ac:dyDescent="0.25">
      <c r="A361" t="s">
        <v>432</v>
      </c>
      <c r="B361" s="6">
        <v>1573562</v>
      </c>
      <c r="C361" s="4" t="str">
        <f>_xlfn.XLOOKUP(B361,[1]ReportePolizaPorFiltroArribas!$G$1:$G$3955,[1]ReportePolizaPorFiltroArribas!$O$1:$O$3955,"No Encontrado",0)</f>
        <v>2026-10</v>
      </c>
      <c r="D361" s="4" t="str">
        <f>_xlfn.XLOOKUP(B361,[2]Tablero!$AP$1:$AP$6608,[2]Tablero!$AE$1:$AE$6608,"No Encontrado",0)</f>
        <v>01 - RENOVADA</v>
      </c>
      <c r="F361" s="4" t="str">
        <f>IF(E361&lt;&gt;"",_xlfn.XLOOKUP(G361,pivot!$B$1:$B$34,pivot!$A$1:$A$34,"",0),"")</f>
        <v/>
      </c>
      <c r="G361" t="s">
        <v>7</v>
      </c>
      <c r="H361" t="s">
        <v>404</v>
      </c>
      <c r="M361" s="4">
        <f t="shared" si="5"/>
        <v>6</v>
      </c>
    </row>
    <row r="362" spans="1:13" hidden="1" x14ac:dyDescent="0.25">
      <c r="A362" t="s">
        <v>282</v>
      </c>
      <c r="B362" s="6">
        <v>93933</v>
      </c>
      <c r="C362" s="4" t="str">
        <f>_xlfn.XLOOKUP(B362,[1]ReportePolizaPorFiltroArribas!$G$1:$G$3955,[1]ReportePolizaPorFiltroArribas!$O$1:$O$3955,"No Encontrado",0)</f>
        <v>2025-12</v>
      </c>
      <c r="D362" s="4" t="str">
        <f>_xlfn.XLOOKUP(B362,[2]Tablero!$AP$1:$AP$6608,[2]Tablero!$AE$1:$AE$6608,"No Encontrado",0)</f>
        <v>03 - PENDIENTE</v>
      </c>
      <c r="F362" s="4" t="str">
        <f>IF(E362&lt;&gt;"",_xlfn.XLOOKUP(G362,pivot!$B$1:$B$34,pivot!$A$1:$A$34,"",0),"")</f>
        <v/>
      </c>
      <c r="G362" t="s">
        <v>14</v>
      </c>
      <c r="H362" t="s">
        <v>404</v>
      </c>
      <c r="M362" s="4">
        <f t="shared" si="5"/>
        <v>6</v>
      </c>
    </row>
    <row r="363" spans="1:13" hidden="1" x14ac:dyDescent="0.25">
      <c r="A363" t="s">
        <v>240</v>
      </c>
      <c r="B363" s="6">
        <v>14749</v>
      </c>
      <c r="C363" s="4" t="str">
        <f>_xlfn.XLOOKUP(B363,[1]ReportePolizaPorFiltroArribas!$G$1:$G$3955,[1]ReportePolizaPorFiltroArribas!$O$1:$O$3955,"No Encontrado",0)</f>
        <v>2026-04</v>
      </c>
      <c r="D363" s="4" t="str">
        <f>_xlfn.XLOOKUP(B363,[2]Tablero!$AP$1:$AP$6608,[2]Tablero!$AE$1:$AE$6608,"No Encontrado",0)</f>
        <v>01 - RENOVADA</v>
      </c>
      <c r="F363" s="4" t="str">
        <f>IF(E363&lt;&gt;"",_xlfn.XLOOKUP(G363,pivot!$B$1:$B$34,pivot!$A$1:$A$34,"",0),"")</f>
        <v/>
      </c>
      <c r="G363" t="s">
        <v>21</v>
      </c>
      <c r="H363" t="s">
        <v>404</v>
      </c>
      <c r="M363" s="4">
        <f t="shared" si="5"/>
        <v>6</v>
      </c>
    </row>
    <row r="364" spans="1:13" hidden="1" x14ac:dyDescent="0.25">
      <c r="A364" t="s">
        <v>468</v>
      </c>
      <c r="B364" s="6">
        <v>1578451</v>
      </c>
      <c r="C364" s="4" t="str">
        <f>_xlfn.XLOOKUP(B364,[1]ReportePolizaPorFiltroArribas!$G$1:$G$3955,[1]ReportePolizaPorFiltroArribas!$O$1:$O$3955,"No Encontrado",0)</f>
        <v>2026-10</v>
      </c>
      <c r="D364" s="4" t="str">
        <f>_xlfn.XLOOKUP(B364,[2]Tablero!$AP$1:$AP$6608,[2]Tablero!$AE$1:$AE$6608,"No Encontrado",0)</f>
        <v>01 - RENOVADA</v>
      </c>
      <c r="F364" s="4" t="str">
        <f>IF(E364&lt;&gt;"",_xlfn.XLOOKUP(G364,pivot!$B$1:$B$34,pivot!$A$1:$A$34,"",0),"")</f>
        <v/>
      </c>
      <c r="G364" t="s">
        <v>7</v>
      </c>
      <c r="H364" t="s">
        <v>510</v>
      </c>
      <c r="M364" s="4">
        <f t="shared" si="5"/>
        <v>6</v>
      </c>
    </row>
    <row r="365" spans="1:13" hidden="1" x14ac:dyDescent="0.25">
      <c r="A365" t="s">
        <v>355</v>
      </c>
      <c r="B365" s="6">
        <v>1565377</v>
      </c>
      <c r="C365" s="4" t="str">
        <f>_xlfn.XLOOKUP(B365,[1]ReportePolizaPorFiltroArribas!$G$1:$G$3955,[1]ReportePolizaPorFiltroArribas!$O$1:$O$3955,"No Encontrado",0)</f>
        <v>2026-09</v>
      </c>
      <c r="D365" s="4" t="str">
        <f>_xlfn.XLOOKUP(B365,[2]Tablero!$AP$1:$AP$6608,[2]Tablero!$AE$1:$AE$6608,"No Encontrado",0)</f>
        <v>01 - RENOVADA</v>
      </c>
      <c r="F365" s="4" t="str">
        <f>IF(E365&lt;&gt;"",_xlfn.XLOOKUP(G365,pivot!$B$1:$B$34,pivot!$A$1:$A$34,"",0),"")</f>
        <v/>
      </c>
      <c r="G365" t="s">
        <v>7</v>
      </c>
      <c r="H365" t="s">
        <v>510</v>
      </c>
      <c r="M365" s="4">
        <f t="shared" si="5"/>
        <v>6</v>
      </c>
    </row>
    <row r="366" spans="1:13" hidden="1" x14ac:dyDescent="0.25">
      <c r="A366" t="s">
        <v>503</v>
      </c>
      <c r="B366" s="6">
        <v>264667</v>
      </c>
      <c r="C366" s="4" t="str">
        <f>_xlfn.XLOOKUP(B366,[1]ReportePolizaPorFiltroArribas!$G$1:$G$3955,[1]ReportePolizaPorFiltroArribas!$O$1:$O$3955,"No Encontrado",0)</f>
        <v>2026-10</v>
      </c>
      <c r="D366" s="4" t="str">
        <f>_xlfn.XLOOKUP(B366,[2]Tablero!$AP$1:$AP$6608,[2]Tablero!$AE$1:$AE$6608,"No Encontrado",0)</f>
        <v>No Encontrado</v>
      </c>
      <c r="F366" s="4" t="str">
        <f>IF(E366&lt;&gt;"",_xlfn.XLOOKUP(G366,pivot!$B$1:$B$34,pivot!$A$1:$A$34,"",0),"")</f>
        <v/>
      </c>
      <c r="G366" t="s">
        <v>13</v>
      </c>
      <c r="H366" t="s">
        <v>510</v>
      </c>
      <c r="M366" s="4">
        <f t="shared" si="5"/>
        <v>6</v>
      </c>
    </row>
    <row r="367" spans="1:13" hidden="1" x14ac:dyDescent="0.25">
      <c r="A367" t="s">
        <v>512</v>
      </c>
      <c r="B367" s="6">
        <v>1300363641</v>
      </c>
      <c r="C367" s="4" t="str">
        <f>_xlfn.XLOOKUP(B367,[1]ReportePolizaPorFiltroArribas!$G$1:$G$3955,[1]ReportePolizaPorFiltroArribas!$O$1:$O$3955,"No Encontrado",0)</f>
        <v>2025-12</v>
      </c>
      <c r="D367" s="4" t="str">
        <f>_xlfn.XLOOKUP(B367,[2]Tablero!$AP$1:$AP$6608,[2]Tablero!$AE$1:$AE$6608,"No Encontrado",0)</f>
        <v>03 - PENDIENTE</v>
      </c>
      <c r="F367" s="4" t="str">
        <f>IF(E367&lt;&gt;"",_xlfn.XLOOKUP(G367,pivot!$B$1:$B$34,pivot!$A$1:$A$34,"",0),"")</f>
        <v/>
      </c>
      <c r="G367" s="6" t="s">
        <v>10</v>
      </c>
      <c r="H367" t="s">
        <v>510</v>
      </c>
      <c r="M367" s="4">
        <f t="shared" si="5"/>
        <v>6</v>
      </c>
    </row>
    <row r="368" spans="1:13" hidden="1" x14ac:dyDescent="0.25">
      <c r="A368" t="s">
        <v>411</v>
      </c>
      <c r="B368" s="6">
        <v>1573582</v>
      </c>
      <c r="C368" s="4" t="str">
        <f>_xlfn.XLOOKUP(B368,[1]ReportePolizaPorFiltroArribas!$G$1:$G$3955,[1]ReportePolizaPorFiltroArribas!$O$1:$O$3955,"No Encontrado",0)</f>
        <v>2026-10</v>
      </c>
      <c r="D368" s="4" t="str">
        <f>_xlfn.XLOOKUP(B368,[2]Tablero!$AP$1:$AP$6608,[2]Tablero!$AE$1:$AE$6608,"No Encontrado",0)</f>
        <v>01 - RENOVADA</v>
      </c>
      <c r="F368" s="4" t="str">
        <f>IF(E368&lt;&gt;"",_xlfn.XLOOKUP(G368,pivot!$B$1:$B$34,pivot!$A$1:$A$34,"",0),"")</f>
        <v/>
      </c>
      <c r="G368" t="s">
        <v>7</v>
      </c>
      <c r="H368" t="s">
        <v>375</v>
      </c>
      <c r="M368" s="4">
        <f t="shared" si="5"/>
        <v>6</v>
      </c>
    </row>
    <row r="369" spans="1:13" hidden="1" x14ac:dyDescent="0.25">
      <c r="A369" t="s">
        <v>363</v>
      </c>
      <c r="B369" s="6">
        <v>540924</v>
      </c>
      <c r="C369" s="4" t="str">
        <f>_xlfn.XLOOKUP(B369,[1]ReportePolizaPorFiltroArribas!$G$1:$G$3955,[1]ReportePolizaPorFiltroArribas!$O$1:$O$3955,"No Encontrado",0)</f>
        <v>2026-10</v>
      </c>
      <c r="D369" s="4" t="str">
        <f>_xlfn.XLOOKUP(B369,[2]Tablero!$AP$1:$AP$6608,[2]Tablero!$AE$1:$AE$6608,"No Encontrado",0)</f>
        <v>01 - RENOVADA</v>
      </c>
      <c r="F369" s="4" t="str">
        <f>IF(E369&lt;&gt;"",_xlfn.XLOOKUP(G369,pivot!$B$1:$B$34,pivot!$A$1:$A$34,"",0),"")</f>
        <v/>
      </c>
      <c r="G369" t="s">
        <v>18</v>
      </c>
      <c r="H369" t="s">
        <v>375</v>
      </c>
      <c r="M369" s="4">
        <f t="shared" si="5"/>
        <v>6</v>
      </c>
    </row>
    <row r="370" spans="1:13" hidden="1" x14ac:dyDescent="0.25">
      <c r="A370" t="s">
        <v>115</v>
      </c>
      <c r="B370" s="6">
        <v>54649</v>
      </c>
      <c r="C370" s="4" t="str">
        <f>_xlfn.XLOOKUP(B370,[1]ReportePolizaPorFiltroArribas!$G$1:$G$3955,[1]ReportePolizaPorFiltroArribas!$O$1:$O$3955,"No Encontrado",0)</f>
        <v>2026-09</v>
      </c>
      <c r="D370" s="4" t="str">
        <f>_xlfn.XLOOKUP(B370,[2]Tablero!$AP$1:$AP$6608,[2]Tablero!$AE$1:$AE$6608,"No Encontrado",0)</f>
        <v>No Encontrado</v>
      </c>
      <c r="F370" s="4" t="str">
        <f>IF(E370&lt;&gt;"",_xlfn.XLOOKUP(G370,pivot!$B$1:$B$34,pivot!$A$1:$A$34,"",0),"")</f>
        <v/>
      </c>
      <c r="G370" t="s">
        <v>9</v>
      </c>
      <c r="H370" t="s">
        <v>375</v>
      </c>
      <c r="M370" s="4">
        <f t="shared" si="5"/>
        <v>6</v>
      </c>
    </row>
    <row r="371" spans="1:13" hidden="1" x14ac:dyDescent="0.25">
      <c r="A371" t="s">
        <v>218</v>
      </c>
      <c r="B371" s="6">
        <v>1300044381</v>
      </c>
      <c r="C371" s="4" t="str">
        <f>_xlfn.XLOOKUP(B371,[1]ReportePolizaPorFiltroArribas!$G$1:$G$3955,[1]ReportePolizaPorFiltroArribas!$O$1:$O$3955,"No Encontrado",0)</f>
        <v>2026-03</v>
      </c>
      <c r="D371" s="4" t="str">
        <f>_xlfn.XLOOKUP(B371,[2]Tablero!$AP$1:$AP$6608,[2]Tablero!$AE$1:$AE$6608,"No Encontrado",0)</f>
        <v>03 - PENDIENTE</v>
      </c>
      <c r="F371" s="4" t="str">
        <f>IF(E371&lt;&gt;"",_xlfn.XLOOKUP(G371,pivot!$B$1:$B$34,pivot!$A$1:$A$34,"",0),"")</f>
        <v/>
      </c>
      <c r="G371" t="s">
        <v>10</v>
      </c>
      <c r="H371" t="s">
        <v>375</v>
      </c>
      <c r="M371" s="4">
        <f t="shared" si="5"/>
        <v>6</v>
      </c>
    </row>
    <row r="372" spans="1:13" hidden="1" x14ac:dyDescent="0.25">
      <c r="A372" t="s">
        <v>471</v>
      </c>
      <c r="B372" s="6">
        <v>1300649027</v>
      </c>
      <c r="C372" s="4" t="str">
        <f>_xlfn.XLOOKUP(B372,[1]ReportePolizaPorFiltroArribas!$G$1:$G$3955,[1]ReportePolizaPorFiltroArribas!$O$1:$O$3955,"No Encontrado",0)</f>
        <v>2026-09</v>
      </c>
      <c r="D372" s="4" t="str">
        <f>_xlfn.XLOOKUP(B372,[2]Tablero!$AP$1:$AP$6608,[2]Tablero!$AE$1:$AE$6608,"No Encontrado",0)</f>
        <v>No Encontrado</v>
      </c>
      <c r="F372" s="4" t="str">
        <f>IF(E372&lt;&gt;"",_xlfn.XLOOKUP(G372,pivot!$B$1:$B$34,pivot!$A$1:$A$34,"",0),"")</f>
        <v/>
      </c>
      <c r="G372" t="s">
        <v>54</v>
      </c>
      <c r="H372" t="s">
        <v>375</v>
      </c>
      <c r="M372" s="4">
        <f t="shared" si="5"/>
        <v>6</v>
      </c>
    </row>
    <row r="373" spans="1:13" hidden="1" x14ac:dyDescent="0.25">
      <c r="A373" t="s">
        <v>503</v>
      </c>
      <c r="B373" s="6">
        <v>1300645488</v>
      </c>
      <c r="C373" s="4" t="str">
        <f>_xlfn.XLOOKUP(B373,[1]ReportePolizaPorFiltroArribas!$G$1:$G$3955,[1]ReportePolizaPorFiltroArribas!$O$1:$O$3955,"No Encontrado",0)</f>
        <v>2026-10</v>
      </c>
      <c r="D373" s="4" t="str">
        <f>_xlfn.XLOOKUP(B373,[2]Tablero!$AP$1:$AP$6608,[2]Tablero!$AE$1:$AE$6608,"No Encontrado",0)</f>
        <v>No Encontrado</v>
      </c>
      <c r="F373" s="4" t="str">
        <f>IF(E373&lt;&gt;"",_xlfn.XLOOKUP(G373,pivot!$B$1:$B$34,pivot!$A$1:$A$34,"",0),"")</f>
        <v/>
      </c>
      <c r="G373" t="s">
        <v>54</v>
      </c>
      <c r="H373" t="s">
        <v>375</v>
      </c>
      <c r="M373" s="4">
        <f t="shared" si="5"/>
        <v>6</v>
      </c>
    </row>
    <row r="374" spans="1:13" hidden="1" x14ac:dyDescent="0.25">
      <c r="A374" t="s">
        <v>514</v>
      </c>
      <c r="B374" s="6" t="s">
        <v>515</v>
      </c>
      <c r="C374" s="4" t="str">
        <f>_xlfn.XLOOKUP(B374,[1]ReportePolizaPorFiltroArribas!$G$1:$G$3955,[1]ReportePolizaPorFiltroArribas!$O$1:$O$3955,"No Encontrado",0)</f>
        <v>2026-01</v>
      </c>
      <c r="D374" s="4" t="str">
        <f>_xlfn.XLOOKUP(B374,[2]Tablero!$AP$1:$AP$6608,[2]Tablero!$AE$1:$AE$6608,"No Encontrado",0)</f>
        <v>No Encontrado</v>
      </c>
      <c r="F374" s="4" t="str">
        <f>IF(E374&lt;&gt;"",_xlfn.XLOOKUP(G374,pivot!$B$1:$B$34,pivot!$A$1:$A$34,"",0),"")</f>
        <v/>
      </c>
      <c r="G374" s="6" t="s">
        <v>4</v>
      </c>
      <c r="H374" t="s">
        <v>375</v>
      </c>
      <c r="M374" s="4">
        <f t="shared" si="5"/>
        <v>6</v>
      </c>
    </row>
    <row r="375" spans="1:13" hidden="1" x14ac:dyDescent="0.25">
      <c r="A375" t="s">
        <v>288</v>
      </c>
      <c r="B375" s="6">
        <v>1494409</v>
      </c>
      <c r="C375" s="4" t="str">
        <f>_xlfn.XLOOKUP(B375,[1]ReportePolizaPorFiltroArribas!$G$1:$G$3955,[1]ReportePolizaPorFiltroArribas!$O$1:$O$3955,"No Encontrado",0)</f>
        <v>2026-02</v>
      </c>
      <c r="D375" s="4" t="str">
        <f>_xlfn.XLOOKUP(B375,[2]Tablero!$AP$1:$AP$6608,[2]Tablero!$AE$1:$AE$6608,"No Encontrado",0)</f>
        <v>01 - RENOVADA</v>
      </c>
      <c r="F375" s="4" t="str">
        <f>IF(E375&lt;&gt;"",_xlfn.XLOOKUP(G375,pivot!$B$1:$B$34,pivot!$A$1:$A$34,"",0),"")</f>
        <v/>
      </c>
      <c r="G375" t="s">
        <v>7</v>
      </c>
      <c r="H375" t="s">
        <v>375</v>
      </c>
      <c r="M375" s="4">
        <f t="shared" si="5"/>
        <v>6</v>
      </c>
    </row>
    <row r="376" spans="1:13" hidden="1" x14ac:dyDescent="0.25">
      <c r="A376" t="s">
        <v>289</v>
      </c>
      <c r="B376" s="6">
        <v>1538631</v>
      </c>
      <c r="C376" s="4" t="str">
        <f>_xlfn.XLOOKUP(B376,[1]ReportePolizaPorFiltroArribas!$G$1:$G$3955,[1]ReportePolizaPorFiltroArribas!$O$1:$O$3955,"No Encontrado",0)</f>
        <v>2026-07</v>
      </c>
      <c r="D376" s="4" t="str">
        <f>_xlfn.XLOOKUP(B376,[2]Tablero!$AP$1:$AP$6608,[2]Tablero!$AE$1:$AE$6608,"No Encontrado",0)</f>
        <v>01 - RENOVADA</v>
      </c>
      <c r="F376" s="4" t="str">
        <f>IF(E376&lt;&gt;"",_xlfn.XLOOKUP(G376,pivot!$B$1:$B$34,pivot!$A$1:$A$34,"",0),"")</f>
        <v/>
      </c>
      <c r="G376" t="s">
        <v>7</v>
      </c>
      <c r="H376" t="s">
        <v>375</v>
      </c>
      <c r="M376" s="4">
        <f t="shared" si="5"/>
        <v>6</v>
      </c>
    </row>
    <row r="377" spans="1:13" hidden="1" x14ac:dyDescent="0.25">
      <c r="A377" t="s">
        <v>290</v>
      </c>
      <c r="B377" s="6">
        <v>1547966</v>
      </c>
      <c r="C377" s="4" t="str">
        <f>_xlfn.XLOOKUP(B377,[1]ReportePolizaPorFiltroArribas!$G$1:$G$3955,[1]ReportePolizaPorFiltroArribas!$O$1:$O$3955,"No Encontrado",0)</f>
        <v>2026-08</v>
      </c>
      <c r="D377" s="4" t="str">
        <f>_xlfn.XLOOKUP(B377,[2]Tablero!$AP$1:$AP$6608,[2]Tablero!$AE$1:$AE$6608,"No Encontrado",0)</f>
        <v>01 - RENOVADA</v>
      </c>
      <c r="F377" s="4" t="str">
        <f>IF(E377&lt;&gt;"",_xlfn.XLOOKUP(G377,pivot!$B$1:$B$34,pivot!$A$1:$A$34,"",0),"")</f>
        <v/>
      </c>
      <c r="G377" t="s">
        <v>7</v>
      </c>
      <c r="H377" t="s">
        <v>375</v>
      </c>
      <c r="M377" s="4">
        <f t="shared" si="5"/>
        <v>6</v>
      </c>
    </row>
    <row r="378" spans="1:13" hidden="1" x14ac:dyDescent="0.25">
      <c r="A378" t="s">
        <v>291</v>
      </c>
      <c r="B378" s="6">
        <v>1548754</v>
      </c>
      <c r="C378" s="4" t="str">
        <f>_xlfn.XLOOKUP(B378,[1]ReportePolizaPorFiltroArribas!$G$1:$G$3955,[1]ReportePolizaPorFiltroArribas!$O$1:$O$3955,"No Encontrado",0)</f>
        <v>2026-07</v>
      </c>
      <c r="D378" s="4" t="str">
        <f>_xlfn.XLOOKUP(B378,[2]Tablero!$AP$1:$AP$6608,[2]Tablero!$AE$1:$AE$6608,"No Encontrado",0)</f>
        <v>01 - RENOVADA</v>
      </c>
      <c r="F378" s="4" t="str">
        <f>IF(E378&lt;&gt;"",_xlfn.XLOOKUP(G378,pivot!$B$1:$B$34,pivot!$A$1:$A$34,"",0),"")</f>
        <v/>
      </c>
      <c r="G378" t="s">
        <v>7</v>
      </c>
      <c r="H378" t="s">
        <v>375</v>
      </c>
      <c r="M378" s="4">
        <f t="shared" si="5"/>
        <v>6</v>
      </c>
    </row>
    <row r="379" spans="1:13" hidden="1" x14ac:dyDescent="0.25">
      <c r="A379" t="s">
        <v>287</v>
      </c>
      <c r="B379" s="6">
        <v>50994</v>
      </c>
      <c r="C379" s="4" t="str">
        <f>_xlfn.XLOOKUP(B379,[1]ReportePolizaPorFiltroArribas!$G$1:$G$3955,[1]ReportePolizaPorFiltroArribas!$O$1:$O$3955,"No Encontrado",0)</f>
        <v>2026-11</v>
      </c>
      <c r="D379" s="4" t="str">
        <f>_xlfn.XLOOKUP(B379,[2]Tablero!$AP$1:$AP$6608,[2]Tablero!$AE$1:$AE$6608,"No Encontrado",0)</f>
        <v>01 - RENOVADA</v>
      </c>
      <c r="F379" s="4" t="str">
        <f>IF(E379&lt;&gt;"",_xlfn.XLOOKUP(G379,pivot!$B$1:$B$34,pivot!$A$1:$A$34,"",0),"")</f>
        <v/>
      </c>
      <c r="G379" t="s">
        <v>9</v>
      </c>
      <c r="H379" t="s">
        <v>375</v>
      </c>
      <c r="M379" s="4">
        <f t="shared" si="5"/>
        <v>6</v>
      </c>
    </row>
    <row r="380" spans="1:13" hidden="1" x14ac:dyDescent="0.25">
      <c r="A380" t="s">
        <v>120</v>
      </c>
      <c r="B380" s="6">
        <v>12206</v>
      </c>
      <c r="C380" s="4" t="str">
        <f>_xlfn.XLOOKUP(B380,[1]ReportePolizaPorFiltroArribas!$G$1:$G$3955,[1]ReportePolizaPorFiltroArribas!$O$1:$O$3955,"No Encontrado",0)</f>
        <v>2026-07</v>
      </c>
      <c r="D380" s="4" t="str">
        <f>_xlfn.XLOOKUP(B380,[2]Tablero!$AP$1:$AP$6608,[2]Tablero!$AE$1:$AE$6608,"No Encontrado",0)</f>
        <v>01 - RENOVADA</v>
      </c>
      <c r="E380" s="9"/>
      <c r="F380" s="4" t="str">
        <f>IF(E380&lt;&gt;"",_xlfn.XLOOKUP(G380,pivot!$B$1:$B$34,pivot!$A$1:$A$34,"",0),"")</f>
        <v/>
      </c>
      <c r="G380" t="s">
        <v>17</v>
      </c>
      <c r="H380" t="s">
        <v>522</v>
      </c>
      <c r="M380" s="4">
        <f t="shared" si="5"/>
        <v>6</v>
      </c>
    </row>
    <row r="381" spans="1:13" hidden="1" x14ac:dyDescent="0.25">
      <c r="A381" t="s">
        <v>142</v>
      </c>
      <c r="B381" s="6">
        <v>4969</v>
      </c>
      <c r="C381" s="4" t="str">
        <f>_xlfn.XLOOKUP(B381,[1]ReportePolizaPorFiltroArribas!$G$1:$G$3955,[1]ReportePolizaPorFiltroArribas!$O$1:$O$3955,"No Encontrado",0)</f>
        <v>2026-09</v>
      </c>
      <c r="D381" s="4" t="str">
        <f>_xlfn.XLOOKUP(B381,[2]Tablero!$AP$1:$AP$6608,[2]Tablero!$AE$1:$AE$6608,"No Encontrado",0)</f>
        <v>01 - RENOVADA</v>
      </c>
      <c r="F381" s="4" t="str">
        <f>IF(E381&lt;&gt;"",_xlfn.XLOOKUP(G381,pivot!$B$1:$B$34,pivot!$A$1:$A$34,"",0),"")</f>
        <v/>
      </c>
      <c r="G381" t="s">
        <v>17</v>
      </c>
      <c r="H381" t="s">
        <v>522</v>
      </c>
      <c r="M381" s="4">
        <f t="shared" si="5"/>
        <v>6</v>
      </c>
    </row>
    <row r="382" spans="1:13" hidden="1" x14ac:dyDescent="0.25">
      <c r="A382" t="s">
        <v>385</v>
      </c>
      <c r="B382" s="6">
        <v>451859</v>
      </c>
      <c r="C382" s="4" t="str">
        <f>_xlfn.XLOOKUP(B382,[1]ReportePolizaPorFiltroArribas!$G$1:$G$3955,[1]ReportePolizaPorFiltroArribas!$O$1:$O$3955,"No Encontrado",0)</f>
        <v>2026-10</v>
      </c>
      <c r="D382" s="4" t="str">
        <f>_xlfn.XLOOKUP(B382,[2]Tablero!$AP$1:$AP$6608,[2]Tablero!$AE$1:$AE$6608,"No Encontrado",0)</f>
        <v>01 - RENOVADA</v>
      </c>
      <c r="E382" s="9"/>
      <c r="F382" s="4" t="str">
        <f>IF(E382&lt;&gt;"",_xlfn.XLOOKUP(G382,pivot!$B$1:$B$34,pivot!$A$1:$A$34,"",0),"")</f>
        <v/>
      </c>
      <c r="G382" t="s">
        <v>7</v>
      </c>
      <c r="H382" t="s">
        <v>522</v>
      </c>
      <c r="M382" s="4">
        <f t="shared" si="5"/>
        <v>6</v>
      </c>
    </row>
    <row r="383" spans="1:13" hidden="1" x14ac:dyDescent="0.25">
      <c r="A383" t="s">
        <v>292</v>
      </c>
      <c r="B383" s="6">
        <v>717356</v>
      </c>
      <c r="C383" s="4" t="str">
        <f>_xlfn.XLOOKUP(B383,[1]ReportePolizaPorFiltroArribas!$G$1:$G$3955,[1]ReportePolizaPorFiltroArribas!$O$1:$O$3955,"No Encontrado",0)</f>
        <v>2026-09</v>
      </c>
      <c r="D383" s="4" t="str">
        <f>_xlfn.XLOOKUP(B383,[2]Tablero!$AP$1:$AP$6608,[2]Tablero!$AE$1:$AE$6608,"No Encontrado",0)</f>
        <v>01 - RENOVADA</v>
      </c>
      <c r="F383" s="4" t="str">
        <f>IF(E383&lt;&gt;"",_xlfn.XLOOKUP(G383,pivot!$B$1:$B$34,pivot!$A$1:$A$34,"",0),"")</f>
        <v/>
      </c>
      <c r="G383" s="6" t="s">
        <v>7</v>
      </c>
      <c r="H383" t="s">
        <v>522</v>
      </c>
      <c r="M383" s="4">
        <f t="shared" si="5"/>
        <v>6</v>
      </c>
    </row>
    <row r="384" spans="1:13" hidden="1" x14ac:dyDescent="0.25">
      <c r="A384" t="s">
        <v>158</v>
      </c>
      <c r="B384" s="6">
        <v>50098</v>
      </c>
      <c r="C384" s="4" t="str">
        <f>_xlfn.XLOOKUP(B384,[1]ReportePolizaPorFiltroArribas!$G$1:$G$3955,[1]ReportePolizaPorFiltroArribas!$O$1:$O$3955,"No Encontrado",0)</f>
        <v>2026-02</v>
      </c>
      <c r="D384" s="4" t="str">
        <f>_xlfn.XLOOKUP(B384,[2]Tablero!$AP$1:$AP$6608,[2]Tablero!$AE$1:$AE$6608,"No Encontrado",0)</f>
        <v>01 - RENOVADA</v>
      </c>
      <c r="F384" s="4" t="str">
        <f>IF(E384&lt;&gt;"",_xlfn.XLOOKUP(G384,pivot!$B$1:$B$34,pivot!$A$1:$A$34,"",0),"")</f>
        <v/>
      </c>
      <c r="G384" t="s">
        <v>9</v>
      </c>
      <c r="H384" t="s">
        <v>523</v>
      </c>
      <c r="M384" s="4">
        <f t="shared" si="5"/>
        <v>6</v>
      </c>
    </row>
    <row r="385" spans="1:13" hidden="1" x14ac:dyDescent="0.25">
      <c r="A385" t="s">
        <v>121</v>
      </c>
      <c r="B385" s="6">
        <v>1547940</v>
      </c>
      <c r="C385" s="4" t="str">
        <f>_xlfn.XLOOKUP(B385,[1]ReportePolizaPorFiltroArribas!$G$1:$G$3955,[1]ReportePolizaPorFiltroArribas!$O$1:$O$3955,"No Encontrado",0)</f>
        <v>2026-08</v>
      </c>
      <c r="D385" s="4" t="str">
        <f>_xlfn.XLOOKUP(B385,[2]Tablero!$AP$1:$AP$6608,[2]Tablero!$AE$1:$AE$6608,"No Encontrado",0)</f>
        <v>01 - RENOVADA</v>
      </c>
      <c r="F385" s="4" t="str">
        <f>IF(E385&lt;&gt;"",_xlfn.XLOOKUP(G385,pivot!$B$1:$B$34,pivot!$A$1:$A$34,"",0),"")</f>
        <v/>
      </c>
      <c r="G385" t="s">
        <v>7</v>
      </c>
      <c r="H385" t="s">
        <v>523</v>
      </c>
      <c r="M385" s="4">
        <f t="shared" si="5"/>
        <v>6</v>
      </c>
    </row>
    <row r="386" spans="1:13" hidden="1" x14ac:dyDescent="0.25">
      <c r="A386" t="s">
        <v>124</v>
      </c>
      <c r="B386" s="6">
        <v>94159</v>
      </c>
      <c r="C386" s="4" t="str">
        <f>_xlfn.XLOOKUP(B386,[1]ReportePolizaPorFiltroArribas!$G$1:$G$3955,[1]ReportePolizaPorFiltroArribas!$O$1:$O$3955,"No Encontrado",0)</f>
        <v>2026-01</v>
      </c>
      <c r="D386" s="4" t="str">
        <f>_xlfn.XLOOKUP(B386,[2]Tablero!$AP$1:$AP$6608,[2]Tablero!$AE$1:$AE$6608,"No Encontrado",0)</f>
        <v>01 - RENOVADA</v>
      </c>
      <c r="F386" s="4" t="str">
        <f>IF(E386&lt;&gt;"",_xlfn.XLOOKUP(G386,pivot!$B$1:$B$34,pivot!$A$1:$A$34,"",0),"")</f>
        <v/>
      </c>
      <c r="G386" t="s">
        <v>14</v>
      </c>
      <c r="H386" t="s">
        <v>461</v>
      </c>
      <c r="M386" s="4">
        <f t="shared" si="5"/>
        <v>6</v>
      </c>
    </row>
    <row r="387" spans="1:13" hidden="1" x14ac:dyDescent="0.25">
      <c r="A387" t="s">
        <v>382</v>
      </c>
      <c r="B387" s="6">
        <v>508501</v>
      </c>
      <c r="C387" s="4" t="str">
        <f>_xlfn.XLOOKUP(B387,[1]ReportePolizaPorFiltroArribas!$G$1:$G$3955,[1]ReportePolizaPorFiltroArribas!$O$1:$O$3955,"No Encontrado",0)</f>
        <v>2026-03</v>
      </c>
      <c r="D387" s="4" t="str">
        <f>_xlfn.XLOOKUP(B387,[2]Tablero!$AP$1:$AP$6608,[2]Tablero!$AE$1:$AE$6608,"No Encontrado",0)</f>
        <v>01 - RENOVADA</v>
      </c>
      <c r="F387" s="4" t="str">
        <f>IF(E387&lt;&gt;"",_xlfn.XLOOKUP(G387,pivot!$B$1:$B$34,pivot!$A$1:$A$34,"",0),"")</f>
        <v/>
      </c>
      <c r="G387" t="s">
        <v>15</v>
      </c>
      <c r="H387" t="s">
        <v>461</v>
      </c>
      <c r="M387" s="4">
        <f t="shared" ref="M387:M418" si="6">IF(C387&lt;=TEXT(H387,"YYYY-MM"),2,6)</f>
        <v>6</v>
      </c>
    </row>
    <row r="388" spans="1:13" hidden="1" x14ac:dyDescent="0.25">
      <c r="A388" t="s">
        <v>451</v>
      </c>
      <c r="B388" s="6">
        <v>1576092</v>
      </c>
      <c r="C388" s="4" t="str">
        <f>_xlfn.XLOOKUP(B388,[1]ReportePolizaPorFiltroArribas!$G$1:$G$3955,[1]ReportePolizaPorFiltroArribas!$O$1:$O$3955,"No Encontrado",0)</f>
        <v>No Encontrado</v>
      </c>
      <c r="D388" s="4" t="str">
        <f>_xlfn.XLOOKUP(B388,[2]Tablero!$AP$1:$AP$6608,[2]Tablero!$AE$1:$AE$6608,"No Encontrado",0)</f>
        <v>01 - RENOVADA</v>
      </c>
      <c r="F388" s="4" t="str">
        <f>IF(E388&lt;&gt;"",_xlfn.XLOOKUP(G388,pivot!$B$1:$B$34,pivot!$A$1:$A$34,"",0),"")</f>
        <v/>
      </c>
      <c r="G388" t="s">
        <v>7</v>
      </c>
      <c r="H388" t="s">
        <v>461</v>
      </c>
      <c r="M388" s="4">
        <f t="shared" si="6"/>
        <v>6</v>
      </c>
    </row>
    <row r="389" spans="1:13" hidden="1" x14ac:dyDescent="0.25">
      <c r="A389" t="s">
        <v>94</v>
      </c>
      <c r="B389" s="6">
        <v>1300374121</v>
      </c>
      <c r="C389" s="4" t="str">
        <f>_xlfn.XLOOKUP(B389,[1]ReportePolizaPorFiltroArribas!$G$1:$G$3955,[1]ReportePolizaPorFiltroArribas!$O$1:$O$3955,"No Encontrado",0)</f>
        <v>2026-02</v>
      </c>
      <c r="D389" s="4" t="str">
        <f>_xlfn.XLOOKUP(B389,[2]Tablero!$AP$1:$AP$6608,[2]Tablero!$AE$1:$AE$6608,"No Encontrado",0)</f>
        <v>01 - RENOVADA</v>
      </c>
      <c r="F389" s="4" t="str">
        <f>IF(E389&lt;&gt;"",_xlfn.XLOOKUP(G389,pivot!$B$1:$B$34,pivot!$A$1:$A$34,"",0),"")</f>
        <v/>
      </c>
      <c r="G389" t="s">
        <v>10</v>
      </c>
      <c r="H389" t="s">
        <v>461</v>
      </c>
      <c r="M389" s="4">
        <f t="shared" si="6"/>
        <v>6</v>
      </c>
    </row>
    <row r="390" spans="1:13" hidden="1" x14ac:dyDescent="0.25">
      <c r="A390" t="s">
        <v>503</v>
      </c>
      <c r="B390" s="16">
        <v>13545</v>
      </c>
      <c r="C390" s="4" t="str">
        <f>_xlfn.XLOOKUP(B390,[1]ReportePolizaPorFiltroArribas!$G$1:$G$3955,[1]ReportePolizaPorFiltroArribas!$O$1:$O$3955,"No Encontrado",0)</f>
        <v>2026-09</v>
      </c>
      <c r="D390" s="4" t="str">
        <f>_xlfn.XLOOKUP(B390,[2]Tablero!$AP$1:$AP$6608,[2]Tablero!$AE$1:$AE$6608,"No Encontrado",0)</f>
        <v>No Encontrado</v>
      </c>
      <c r="F390" s="4" t="str">
        <f>IF(E390&lt;&gt;"",_xlfn.XLOOKUP(G390,pivot!$B$1:$B$34,pivot!$A$1:$A$34,"",0),"")</f>
        <v/>
      </c>
      <c r="G390" s="6" t="s">
        <v>524</v>
      </c>
      <c r="H390" t="s">
        <v>525</v>
      </c>
      <c r="M390" s="4">
        <f t="shared" si="6"/>
        <v>6</v>
      </c>
    </row>
    <row r="391" spans="1:13" hidden="1" x14ac:dyDescent="0.25">
      <c r="A391" t="s">
        <v>164</v>
      </c>
      <c r="B391" s="6" t="s">
        <v>165</v>
      </c>
      <c r="C391" s="4" t="str">
        <f>_xlfn.XLOOKUP(B391,[1]ReportePolizaPorFiltroArribas!$G$1:$G$3955,[1]ReportePolizaPorFiltroArribas!$O$1:$O$3955,"No Encontrado",0)</f>
        <v>2025-11</v>
      </c>
      <c r="D391" s="4" t="str">
        <f>_xlfn.XLOOKUP(B391,[2]Tablero!$AP$1:$AP$6608,[2]Tablero!$AE$1:$AE$6608,"No Encontrado",0)</f>
        <v>03 - PENDIENTE</v>
      </c>
      <c r="F391" s="4" t="str">
        <f>IF(E391&lt;&gt;"",_xlfn.XLOOKUP(G391,pivot!$B$1:$B$34,pivot!$A$1:$A$34,"",0),"")</f>
        <v/>
      </c>
      <c r="G391" t="s">
        <v>5</v>
      </c>
      <c r="H391" t="s">
        <v>372</v>
      </c>
      <c r="M391" s="4">
        <f t="shared" si="6"/>
        <v>6</v>
      </c>
    </row>
    <row r="392" spans="1:13" hidden="1" x14ac:dyDescent="0.25">
      <c r="A392" t="s">
        <v>433</v>
      </c>
      <c r="B392" s="16">
        <v>1573560</v>
      </c>
      <c r="C392" s="4" t="str">
        <f>_xlfn.XLOOKUP(B392,[1]ReportePolizaPorFiltroArribas!$G$1:$G$3955,[1]ReportePolizaPorFiltroArribas!$O$1:$O$3955,"No Encontrado",0)</f>
        <v>2026-10</v>
      </c>
      <c r="D392" s="4" t="str">
        <f>_xlfn.XLOOKUP(B392,[2]Tablero!$AP$1:$AP$6608,[2]Tablero!$AE$1:$AE$6608,"No Encontrado",0)</f>
        <v>01 - RENOVADA</v>
      </c>
      <c r="F392" s="4" t="str">
        <f>IF(E392&lt;&gt;"",_xlfn.XLOOKUP(G392,pivot!$B$1:$B$34,pivot!$A$1:$A$34,"",0),"")</f>
        <v/>
      </c>
      <c r="G392" s="6" t="s">
        <v>7</v>
      </c>
      <c r="H392" t="s">
        <v>441</v>
      </c>
      <c r="M392" s="4">
        <f t="shared" si="6"/>
        <v>6</v>
      </c>
    </row>
    <row r="393" spans="1:13" hidden="1" x14ac:dyDescent="0.25">
      <c r="A393" t="s">
        <v>135</v>
      </c>
      <c r="B393" s="16">
        <v>74512</v>
      </c>
      <c r="C393" s="4" t="str">
        <f>_xlfn.XLOOKUP(B393,[1]ReportePolizaPorFiltroArribas!$G$1:$G$3955,[1]ReportePolizaPorFiltroArribas!$O$1:$O$3955,"No Encontrado",0)</f>
        <v>2026-11</v>
      </c>
      <c r="D393" s="4" t="str">
        <f>_xlfn.XLOOKUP(B393,[2]Tablero!$AP$1:$AP$6608,[2]Tablero!$AE$1:$AE$6608,"No Encontrado",0)</f>
        <v>01 - RENOVADA</v>
      </c>
      <c r="F393" s="4" t="str">
        <f>IF(E393&lt;&gt;"",_xlfn.XLOOKUP(G393,pivot!$B$1:$B$34,pivot!$A$1:$A$34,"",0),"")</f>
        <v/>
      </c>
      <c r="G393" s="6" t="s">
        <v>14</v>
      </c>
      <c r="H393" t="s">
        <v>376</v>
      </c>
      <c r="M393" s="4">
        <f t="shared" si="6"/>
        <v>6</v>
      </c>
    </row>
    <row r="394" spans="1:13" hidden="1" x14ac:dyDescent="0.25">
      <c r="A394" t="s">
        <v>295</v>
      </c>
      <c r="B394" s="6">
        <v>1547958</v>
      </c>
      <c r="C394" s="4" t="str">
        <f>_xlfn.XLOOKUP(B394,[1]ReportePolizaPorFiltroArribas!$G$1:$G$3955,[1]ReportePolizaPorFiltroArribas!$O$1:$O$3955,"No Encontrado",0)</f>
        <v>2026-08</v>
      </c>
      <c r="D394" s="4" t="str">
        <f>_xlfn.XLOOKUP(B394,[2]Tablero!$AP$1:$AP$6608,[2]Tablero!$AE$1:$AE$6608,"No Encontrado",0)</f>
        <v>01 - RENOVADA</v>
      </c>
      <c r="F394" s="4" t="str">
        <f>IF(E394&lt;&gt;"",_xlfn.XLOOKUP(G394,pivot!$B$1:$B$34,pivot!$A$1:$A$34,"",0),"")</f>
        <v/>
      </c>
      <c r="G394" s="6" t="s">
        <v>7</v>
      </c>
      <c r="H394" t="s">
        <v>376</v>
      </c>
      <c r="M394" s="4">
        <f t="shared" si="6"/>
        <v>6</v>
      </c>
    </row>
    <row r="395" spans="1:13" hidden="1" x14ac:dyDescent="0.25">
      <c r="A395" t="s">
        <v>296</v>
      </c>
      <c r="B395" s="6">
        <v>4011000108</v>
      </c>
      <c r="C395" s="4" t="str">
        <f>_xlfn.XLOOKUP(B395,[1]ReportePolizaPorFiltroArribas!$G$1:$G$3955,[1]ReportePolizaPorFiltroArribas!$O$1:$O$3955,"No Encontrado",0)</f>
        <v>2026-10</v>
      </c>
      <c r="D395" s="4" t="str">
        <f>_xlfn.XLOOKUP(B395,[2]Tablero!$AP$1:$AP$6608,[2]Tablero!$AE$1:$AE$6608,"No Encontrado",0)</f>
        <v>01 - RENOVADA</v>
      </c>
      <c r="F395" s="4" t="str">
        <f>IF(E395&lt;&gt;"",_xlfn.XLOOKUP(G395,pivot!$B$1:$B$34,pivot!$A$1:$A$34,"",0),"")</f>
        <v/>
      </c>
      <c r="G395" t="s">
        <v>9</v>
      </c>
      <c r="H395" t="s">
        <v>376</v>
      </c>
      <c r="M395" s="4">
        <f t="shared" si="6"/>
        <v>6</v>
      </c>
    </row>
    <row r="396" spans="1:13" hidden="1" x14ac:dyDescent="0.25">
      <c r="A396" t="s">
        <v>452</v>
      </c>
      <c r="B396" s="16">
        <v>1575646</v>
      </c>
      <c r="C396" s="4" t="str">
        <f>_xlfn.XLOOKUP(B396,[1]ReportePolizaPorFiltroArribas!$G$1:$G$3955,[1]ReportePolizaPorFiltroArribas!$O$1:$O$3955,"No Encontrado",0)</f>
        <v>2026-10</v>
      </c>
      <c r="D396" s="4" t="str">
        <f>_xlfn.XLOOKUP(B396,[2]Tablero!$AP$1:$AP$6608,[2]Tablero!$AE$1:$AE$6608,"No Encontrado",0)</f>
        <v>01 - RENOVADA</v>
      </c>
      <c r="F396" s="4" t="str">
        <f>IF(E396&lt;&gt;"",_xlfn.XLOOKUP(G396,pivot!$B$1:$B$34,pivot!$A$1:$A$34,"",0),"")</f>
        <v/>
      </c>
      <c r="G396" s="6" t="s">
        <v>7</v>
      </c>
      <c r="H396" t="s">
        <v>462</v>
      </c>
      <c r="M396" s="4">
        <f t="shared" si="6"/>
        <v>6</v>
      </c>
    </row>
    <row r="397" spans="1:13" hidden="1" x14ac:dyDescent="0.25">
      <c r="A397" t="s">
        <v>164</v>
      </c>
      <c r="B397" s="6" t="s">
        <v>166</v>
      </c>
      <c r="C397" s="4" t="str">
        <f>_xlfn.XLOOKUP(B397,[1]ReportePolizaPorFiltroArribas!$G$1:$G$3955,[1]ReportePolizaPorFiltroArribas!$O$1:$O$3955,"No Encontrado",0)</f>
        <v>2025-11</v>
      </c>
      <c r="D397" s="4" t="str">
        <f>_xlfn.XLOOKUP(B397,[2]Tablero!$AP$1:$AP$6608,[2]Tablero!$AE$1:$AE$6608,"No Encontrado",0)</f>
        <v>03 - PENDIENTE</v>
      </c>
      <c r="F397" s="4" t="str">
        <f>IF(E397&lt;&gt;"",_xlfn.XLOOKUP(G397,pivot!$B$1:$B$34,pivot!$A$1:$A$34,"",0),"")</f>
        <v/>
      </c>
      <c r="G397" t="s">
        <v>6</v>
      </c>
      <c r="H397" t="s">
        <v>372</v>
      </c>
      <c r="M397" s="4">
        <f t="shared" si="6"/>
        <v>6</v>
      </c>
    </row>
    <row r="398" spans="1:13" hidden="1" x14ac:dyDescent="0.25">
      <c r="A398" t="s">
        <v>115</v>
      </c>
      <c r="B398" s="16">
        <v>52341</v>
      </c>
      <c r="C398" s="4" t="str">
        <f>_xlfn.XLOOKUP(B398,[1]ReportePolizaPorFiltroArribas!$G$1:$G$3955,[1]ReportePolizaPorFiltroArribas!$O$1:$O$3955,"No Encontrado",0)</f>
        <v>2026-10</v>
      </c>
      <c r="D398" s="4" t="str">
        <f>_xlfn.XLOOKUP(B398,[2]Tablero!$AP$1:$AP$6608,[2]Tablero!$AE$1:$AE$6608,"No Encontrado",0)</f>
        <v>01 - RENOVADA</v>
      </c>
      <c r="F398" s="4" t="str">
        <f>IF(E398&lt;&gt;"",_xlfn.XLOOKUP(G398,pivot!$B$1:$B$34,pivot!$A$1:$A$34,"",0),"")</f>
        <v/>
      </c>
      <c r="G398" s="6" t="s">
        <v>9</v>
      </c>
      <c r="H398" t="s">
        <v>350</v>
      </c>
      <c r="M398" s="4">
        <f t="shared" si="6"/>
        <v>6</v>
      </c>
    </row>
    <row r="399" spans="1:13" hidden="1" x14ac:dyDescent="0.25">
      <c r="A399" t="s">
        <v>434</v>
      </c>
      <c r="B399" s="16">
        <v>1576258</v>
      </c>
      <c r="C399" s="4" t="str">
        <f>_xlfn.XLOOKUP(B399,[1]ReportePolizaPorFiltroArribas!$G$1:$G$3955,[1]ReportePolizaPorFiltroArribas!$O$1:$O$3955,"No Encontrado",0)</f>
        <v>2026-10</v>
      </c>
      <c r="D399" s="4" t="str">
        <f>_xlfn.XLOOKUP(B399,[2]Tablero!$AP$1:$AP$6608,[2]Tablero!$AE$1:$AE$6608,"No Encontrado",0)</f>
        <v>01 - RENOVADA</v>
      </c>
      <c r="F399" s="4" t="str">
        <f>IF(E399&lt;&gt;"",_xlfn.XLOOKUP(G399,pivot!$B$1:$B$34,pivot!$A$1:$A$34,"",0),"")</f>
        <v/>
      </c>
      <c r="G399" s="6" t="s">
        <v>7</v>
      </c>
      <c r="H399" t="s">
        <v>442</v>
      </c>
      <c r="M399" s="4">
        <f t="shared" si="6"/>
        <v>6</v>
      </c>
    </row>
    <row r="400" spans="1:13" hidden="1" x14ac:dyDescent="0.25">
      <c r="A400" t="s">
        <v>427</v>
      </c>
      <c r="B400" s="6">
        <v>1573351</v>
      </c>
      <c r="C400" s="4" t="str">
        <f>_xlfn.XLOOKUP(B400,[1]ReportePolizaPorFiltroArribas!$G$1:$G$3955,[1]ReportePolizaPorFiltroArribas!$O$1:$O$3955,"No Encontrado",0)</f>
        <v>2026-10</v>
      </c>
      <c r="D400" s="4" t="str">
        <f>_xlfn.XLOOKUP(B400,[2]Tablero!$AP$1:$AP$6608,[2]Tablero!$AE$1:$AE$6608,"No Encontrado",0)</f>
        <v>01 - RENOVADA</v>
      </c>
      <c r="F400" s="4" t="str">
        <f>IF(E400&lt;&gt;"",_xlfn.XLOOKUP(G400,pivot!$B$1:$B$34,pivot!$A$1:$A$34,"",0),"")</f>
        <v/>
      </c>
      <c r="G400" t="s">
        <v>7</v>
      </c>
      <c r="H400" t="s">
        <v>463</v>
      </c>
      <c r="M400" s="4">
        <f t="shared" si="6"/>
        <v>6</v>
      </c>
    </row>
    <row r="401" spans="1:13" hidden="1" x14ac:dyDescent="0.25">
      <c r="A401" t="s">
        <v>378</v>
      </c>
      <c r="B401" s="6" t="s">
        <v>392</v>
      </c>
      <c r="C401" s="4" t="str">
        <f>_xlfn.XLOOKUP(B401,[1]ReportePolizaPorFiltroArribas!$G$1:$G$3955,[1]ReportePolizaPorFiltroArribas!$O$1:$O$3955,"No Encontrado",0)</f>
        <v>2025-11</v>
      </c>
      <c r="D401" s="4" t="str">
        <f>_xlfn.XLOOKUP(B401,[2]Tablero!$AP$1:$AP$6608,[2]Tablero!$AE$1:$AE$6608,"No Encontrado",0)</f>
        <v>01 - RENOVADA</v>
      </c>
      <c r="F401" s="4" t="str">
        <f>IF(E401&lt;&gt;"",_xlfn.XLOOKUP(G401,pivot!$B$1:$B$34,pivot!$A$1:$A$34,"",0),"")</f>
        <v/>
      </c>
      <c r="G401" t="s">
        <v>5</v>
      </c>
      <c r="H401" t="s">
        <v>349</v>
      </c>
      <c r="M401" s="4">
        <f t="shared" si="6"/>
        <v>6</v>
      </c>
    </row>
    <row r="402" spans="1:13" hidden="1" x14ac:dyDescent="0.25">
      <c r="A402" t="s">
        <v>453</v>
      </c>
      <c r="B402" s="16">
        <v>1576084</v>
      </c>
      <c r="C402" s="4" t="str">
        <f>_xlfn.XLOOKUP(B402,[1]ReportePolizaPorFiltroArribas!$G$1:$G$3955,[1]ReportePolizaPorFiltroArribas!$O$1:$O$3955,"No Encontrado",0)</f>
        <v>2026-11</v>
      </c>
      <c r="D402" s="4" t="str">
        <f>_xlfn.XLOOKUP(B402,[2]Tablero!$AP$1:$AP$6608,[2]Tablero!$AE$1:$AE$6608,"No Encontrado",0)</f>
        <v>01 - RENOVADA</v>
      </c>
      <c r="F402" s="4" t="str">
        <f>IF(E402&lt;&gt;"",_xlfn.XLOOKUP(G402,pivot!$B$1:$B$34,pivot!$A$1:$A$34,"",0),"")</f>
        <v/>
      </c>
      <c r="G402" s="6" t="s">
        <v>7</v>
      </c>
      <c r="H402" t="s">
        <v>405</v>
      </c>
      <c r="M402" s="4">
        <f t="shared" si="6"/>
        <v>6</v>
      </c>
    </row>
    <row r="403" spans="1:13" hidden="1" x14ac:dyDescent="0.25">
      <c r="A403" t="s">
        <v>217</v>
      </c>
      <c r="B403" s="6" t="s">
        <v>220</v>
      </c>
      <c r="C403" s="4" t="str">
        <f>_xlfn.XLOOKUP(B403,[1]ReportePolizaPorFiltroArribas!$G$1:$G$3955,[1]ReportePolizaPorFiltroArribas!$O$1:$O$3955,"No Encontrado",0)</f>
        <v>2025-11</v>
      </c>
      <c r="D403" s="4" t="str">
        <f>_xlfn.XLOOKUP(B403,[2]Tablero!$AP$1:$AP$6608,[2]Tablero!$AE$1:$AE$6608,"No Encontrado",0)</f>
        <v>03 - PENDIENTE</v>
      </c>
      <c r="F403" s="4" t="str">
        <f>IF(E403&lt;&gt;"",_xlfn.XLOOKUP(G403,pivot!$B$1:$B$34,pivot!$A$1:$A$34,"",0),"")</f>
        <v/>
      </c>
      <c r="G403" t="s">
        <v>5</v>
      </c>
      <c r="H403" t="s">
        <v>349</v>
      </c>
      <c r="M403" s="4">
        <f t="shared" si="6"/>
        <v>6</v>
      </c>
    </row>
    <row r="404" spans="1:13" hidden="1" x14ac:dyDescent="0.25">
      <c r="A404" t="s">
        <v>300</v>
      </c>
      <c r="B404" s="16">
        <v>3659</v>
      </c>
      <c r="C404" s="4" t="str">
        <f>_xlfn.XLOOKUP(B404,[1]ReportePolizaPorFiltroArribas!$G$1:$G$3955,[1]ReportePolizaPorFiltroArribas!$O$1:$O$3955,"No Encontrado",0)</f>
        <v>2026-07</v>
      </c>
      <c r="D404" s="4" t="str">
        <f>_xlfn.XLOOKUP(B404,[2]Tablero!$AP$1:$AP$6608,[2]Tablero!$AE$1:$AE$6608,"No Encontrado",0)</f>
        <v>01 - RENOVADA</v>
      </c>
      <c r="F404" s="4" t="str">
        <f>IF(E404&lt;&gt;"",_xlfn.XLOOKUP(G404,pivot!$B$1:$B$34,pivot!$A$1:$A$34,"",0),"")</f>
        <v/>
      </c>
      <c r="G404" s="6" t="s">
        <v>17</v>
      </c>
      <c r="H404" t="s">
        <v>405</v>
      </c>
      <c r="M404" s="4">
        <f t="shared" si="6"/>
        <v>6</v>
      </c>
    </row>
    <row r="405" spans="1:13" hidden="1" x14ac:dyDescent="0.25">
      <c r="A405" t="s">
        <v>283</v>
      </c>
      <c r="B405" s="16">
        <v>1573377</v>
      </c>
      <c r="C405" s="4" t="str">
        <f>_xlfn.XLOOKUP(B405,[1]ReportePolizaPorFiltroArribas!$G$1:$G$3955,[1]ReportePolizaPorFiltroArribas!$O$1:$O$3955,"No Encontrado",0)</f>
        <v>2026-10</v>
      </c>
      <c r="D405" s="4" t="str">
        <f>_xlfn.XLOOKUP(B405,[2]Tablero!$AP$1:$AP$6608,[2]Tablero!$AE$1:$AE$6608,"No Encontrado",0)</f>
        <v>01 - RENOVADA</v>
      </c>
      <c r="F405" s="4" t="str">
        <f>IF(E405&lt;&gt;"",_xlfn.XLOOKUP(G405,pivot!$B$1:$B$34,pivot!$A$1:$A$34,"",0),"")</f>
        <v/>
      </c>
      <c r="G405" s="6" t="s">
        <v>7</v>
      </c>
      <c r="H405" t="s">
        <v>405</v>
      </c>
      <c r="M405" s="4">
        <f t="shared" si="6"/>
        <v>6</v>
      </c>
    </row>
    <row r="406" spans="1:13" hidden="1" x14ac:dyDescent="0.25">
      <c r="A406" t="s">
        <v>397</v>
      </c>
      <c r="B406" s="16">
        <v>64768</v>
      </c>
      <c r="C406" s="4" t="str">
        <f>_xlfn.XLOOKUP(B406,[1]ReportePolizaPorFiltroArribas!$G$1:$G$3955,[1]ReportePolizaPorFiltroArribas!$O$1:$O$3955,"No Encontrado",0)</f>
        <v>2026-11</v>
      </c>
      <c r="D406" s="4" t="str">
        <f>_xlfn.XLOOKUP(B406,[2]Tablero!$AP$1:$AP$6608,[2]Tablero!$AE$1:$AE$6608,"No Encontrado",0)</f>
        <v>01 - RENOVADA</v>
      </c>
      <c r="F406" s="4" t="str">
        <f>IF(E406&lt;&gt;"",_xlfn.XLOOKUP(G406,pivot!$B$1:$B$34,pivot!$A$1:$A$34,"",0),"")</f>
        <v/>
      </c>
      <c r="G406" s="6" t="s">
        <v>14</v>
      </c>
      <c r="H406" t="s">
        <v>405</v>
      </c>
      <c r="M406" s="4">
        <f t="shared" si="6"/>
        <v>6</v>
      </c>
    </row>
    <row r="407" spans="1:13" hidden="1" x14ac:dyDescent="0.25">
      <c r="A407" t="s">
        <v>475</v>
      </c>
      <c r="B407" s="16">
        <v>548772</v>
      </c>
      <c r="C407" s="4" t="str">
        <f>_xlfn.XLOOKUP(B407,[1]ReportePolizaPorFiltroArribas!$G$1:$G$3955,[1]ReportePolizaPorFiltroArribas!$O$1:$O$3955,"No Encontrado",0)</f>
        <v>2026-11</v>
      </c>
      <c r="D407" s="4" t="str">
        <f>_xlfn.XLOOKUP(B407,[2]Tablero!$AP$1:$AP$6608,[2]Tablero!$AE$1:$AE$6608,"No Encontrado",0)</f>
        <v>01 - RENOVADA</v>
      </c>
      <c r="F407" s="4" t="str">
        <f>IF(E407&lt;&gt;"",_xlfn.XLOOKUP(G407,pivot!$B$1:$B$34,pivot!$A$1:$A$34,"",0),"")</f>
        <v/>
      </c>
      <c r="G407" s="6" t="s">
        <v>23</v>
      </c>
      <c r="H407" t="s">
        <v>405</v>
      </c>
      <c r="M407" s="4">
        <f t="shared" si="6"/>
        <v>6</v>
      </c>
    </row>
    <row r="408" spans="1:13" hidden="1" x14ac:dyDescent="0.25">
      <c r="A408" t="s">
        <v>448</v>
      </c>
      <c r="B408" s="6" t="s">
        <v>449</v>
      </c>
      <c r="C408" s="4" t="str">
        <f>_xlfn.XLOOKUP(B408,[1]ReportePolizaPorFiltroArribas!$G$1:$G$3955,[1]ReportePolizaPorFiltroArribas!$O$1:$O$3955,"No Encontrado",0)</f>
        <v>2025-11</v>
      </c>
      <c r="D408" s="4" t="str">
        <f>_xlfn.XLOOKUP(B408,[2]Tablero!$AP$1:$AP$6608,[2]Tablero!$AE$1:$AE$6608,"No Encontrado",0)</f>
        <v>03 - PENDIENTE</v>
      </c>
      <c r="F408" s="4" t="str">
        <f>IF(E408&lt;&gt;"",_xlfn.XLOOKUP(G408,pivot!$B$1:$B$34,pivot!$A$1:$A$34,"",0),"")</f>
        <v/>
      </c>
      <c r="G408" t="s">
        <v>5</v>
      </c>
      <c r="H408" t="s">
        <v>349</v>
      </c>
      <c r="M408" s="4">
        <f t="shared" si="6"/>
        <v>6</v>
      </c>
    </row>
    <row r="409" spans="1:13" hidden="1" x14ac:dyDescent="0.25">
      <c r="A409" t="s">
        <v>454</v>
      </c>
      <c r="B409" s="16">
        <v>1575492</v>
      </c>
      <c r="C409" s="4" t="str">
        <f>_xlfn.XLOOKUP(B409,[1]ReportePolizaPorFiltroArribas!$G$1:$G$3955,[1]ReportePolizaPorFiltroArribas!$O$1:$O$3955,"No Encontrado",0)</f>
        <v>No Encontrado</v>
      </c>
      <c r="D409" s="4" t="str">
        <f>_xlfn.XLOOKUP(B409,[2]Tablero!$AP$1:$AP$6608,[2]Tablero!$AE$1:$AE$6608,"No Encontrado",0)</f>
        <v>01 - RENOVADA</v>
      </c>
      <c r="F409" s="4" t="str">
        <f>IF(E409&lt;&gt;"",_xlfn.XLOOKUP(G409,pivot!$B$1:$B$34,pivot!$A$1:$A$34,"",0),"")</f>
        <v/>
      </c>
      <c r="G409" s="6" t="s">
        <v>7</v>
      </c>
      <c r="H409" t="s">
        <v>464</v>
      </c>
      <c r="M409" s="4">
        <f t="shared" si="6"/>
        <v>6</v>
      </c>
    </row>
    <row r="410" spans="1:13" hidden="1" x14ac:dyDescent="0.25">
      <c r="A410" t="s">
        <v>472</v>
      </c>
      <c r="B410" s="6" t="s">
        <v>473</v>
      </c>
      <c r="C410" s="4" t="str">
        <f>_xlfn.XLOOKUP(B410,[1]ReportePolizaPorFiltroArribas!$G$1:$G$3955,[1]ReportePolizaPorFiltroArribas!$O$1:$O$3955,"No Encontrado",0)</f>
        <v>2025-11</v>
      </c>
      <c r="D410" s="4" t="str">
        <f>_xlfn.XLOOKUP(B410,[2]Tablero!$AP$1:$AP$6608,[2]Tablero!$AE$1:$AE$6608,"No Encontrado",0)</f>
        <v>No Encontrado</v>
      </c>
      <c r="F410" s="4" t="str">
        <f>IF(E410&lt;&gt;"",_xlfn.XLOOKUP(G410,pivot!$B$1:$B$34,pivot!$A$1:$A$34,"",0),"")</f>
        <v/>
      </c>
      <c r="G410" t="s">
        <v>5</v>
      </c>
      <c r="H410" t="s">
        <v>349</v>
      </c>
      <c r="M410" s="4">
        <f t="shared" si="6"/>
        <v>6</v>
      </c>
    </row>
    <row r="411" spans="1:13" hidden="1" x14ac:dyDescent="0.25">
      <c r="A411" t="s">
        <v>412</v>
      </c>
      <c r="B411" s="6">
        <v>1574229</v>
      </c>
      <c r="C411" s="4" t="str">
        <f>_xlfn.XLOOKUP(B411,[1]ReportePolizaPorFiltroArribas!$G$1:$G$3955,[1]ReportePolizaPorFiltroArribas!$O$1:$O$3955,"No Encontrado",0)</f>
        <v>2026-10</v>
      </c>
      <c r="D411" s="4" t="str">
        <f>_xlfn.XLOOKUP(B411,[2]Tablero!$AP$1:$AP$6608,[2]Tablero!$AE$1:$AE$6608,"No Encontrado",0)</f>
        <v>01 - RENOVADA</v>
      </c>
      <c r="F411" s="4" t="str">
        <f>IF(E411&lt;&gt;"",_xlfn.XLOOKUP(G411,pivot!$B$1:$B$34,pivot!$A$1:$A$34,"",0),"")</f>
        <v/>
      </c>
      <c r="G411" t="s">
        <v>7</v>
      </c>
      <c r="H411" t="s">
        <v>529</v>
      </c>
      <c r="M411" s="4">
        <f t="shared" si="6"/>
        <v>6</v>
      </c>
    </row>
    <row r="412" spans="1:13" hidden="1" x14ac:dyDescent="0.25">
      <c r="A412" t="s">
        <v>398</v>
      </c>
      <c r="B412" s="6">
        <v>100108</v>
      </c>
      <c r="C412" s="4" t="str">
        <f>_xlfn.XLOOKUP(B412,[1]ReportePolizaPorFiltroArribas!$G$1:$G$3955,[1]ReportePolizaPorFiltroArribas!$O$1:$O$3955,"No Encontrado",0)</f>
        <v>2026-11</v>
      </c>
      <c r="D412" s="4" t="str">
        <f>_xlfn.XLOOKUP(B412,[2]Tablero!$AP$1:$AP$6608,[2]Tablero!$AE$1:$AE$6608,"No Encontrado",0)</f>
        <v>01 - RENOVADA</v>
      </c>
      <c r="F412" s="4" t="str">
        <f>IF(E412&lt;&gt;"",_xlfn.XLOOKUP(G412,pivot!$B$1:$B$34,pivot!$A$1:$A$34,"",0),"")</f>
        <v/>
      </c>
      <c r="G412" t="s">
        <v>14</v>
      </c>
      <c r="H412" t="s">
        <v>406</v>
      </c>
      <c r="M412" s="4">
        <f t="shared" si="6"/>
        <v>6</v>
      </c>
    </row>
    <row r="413" spans="1:13" hidden="1" x14ac:dyDescent="0.25">
      <c r="A413" t="s">
        <v>79</v>
      </c>
      <c r="B413" s="6">
        <v>1575487</v>
      </c>
      <c r="C413" s="4" t="str">
        <f>_xlfn.XLOOKUP(B413,[1]ReportePolizaPorFiltroArribas!$G$1:$G$3955,[1]ReportePolizaPorFiltroArribas!$O$1:$O$3955,"No Encontrado",0)</f>
        <v>No Encontrado</v>
      </c>
      <c r="D413" s="4" t="str">
        <f>_xlfn.XLOOKUP(B413,[2]Tablero!$AP$1:$AP$6608,[2]Tablero!$AE$1:$AE$6608,"No Encontrado",0)</f>
        <v>01 - RENOVADA</v>
      </c>
      <c r="F413" s="4" t="str">
        <f>IF(E413&lt;&gt;"",_xlfn.XLOOKUP(G413,pivot!$B$1:$B$34,pivot!$A$1:$A$34,"",0),"")</f>
        <v/>
      </c>
      <c r="G413" t="s">
        <v>7</v>
      </c>
      <c r="H413" t="s">
        <v>465</v>
      </c>
      <c r="M413" s="4">
        <f t="shared" si="6"/>
        <v>6</v>
      </c>
    </row>
    <row r="414" spans="1:13" hidden="1" x14ac:dyDescent="0.25">
      <c r="A414" t="s">
        <v>455</v>
      </c>
      <c r="B414" s="16">
        <v>1575466</v>
      </c>
      <c r="C414" s="4" t="str">
        <f>_xlfn.XLOOKUP(B414,[1]ReportePolizaPorFiltroArribas!$G$1:$G$3955,[1]ReportePolizaPorFiltroArribas!$O$1:$O$3955,"No Encontrado",0)</f>
        <v>No Encontrado</v>
      </c>
      <c r="D414" s="4" t="str">
        <f>_xlfn.XLOOKUP(B414,[2]Tablero!$AP$1:$AP$6608,[2]Tablero!$AE$1:$AE$6608,"No Encontrado",0)</f>
        <v>01 - RENOVADA</v>
      </c>
      <c r="G414" s="6" t="s">
        <v>7</v>
      </c>
      <c r="H414" t="s">
        <v>466</v>
      </c>
      <c r="M414" s="4">
        <f t="shared" si="6"/>
        <v>6</v>
      </c>
    </row>
    <row r="415" spans="1:13" hidden="1" x14ac:dyDescent="0.25">
      <c r="A415" t="s">
        <v>378</v>
      </c>
      <c r="B415" s="6" t="s">
        <v>393</v>
      </c>
      <c r="C415" s="4" t="str">
        <f>_xlfn.XLOOKUP(B415,[1]ReportePolizaPorFiltroArribas!$G$1:$G$3955,[1]ReportePolizaPorFiltroArribas!$O$1:$O$3955,"No Encontrado",0)</f>
        <v>2025-11</v>
      </c>
      <c r="D415" s="4" t="str">
        <f>_xlfn.XLOOKUP(B415,[2]Tablero!$AP$1:$AP$6608,[2]Tablero!$AE$1:$AE$6608,"No Encontrado",0)</f>
        <v>01 - RENOVADA</v>
      </c>
      <c r="F415" s="4" t="str">
        <f>IF(E415&lt;&gt;"",_xlfn.XLOOKUP(G415,pivot!$B$1:$B$34,pivot!$A$1:$A$34,"",0),"")</f>
        <v/>
      </c>
      <c r="G415" t="s">
        <v>6</v>
      </c>
      <c r="H415" t="s">
        <v>349</v>
      </c>
      <c r="M415" s="4">
        <f t="shared" si="6"/>
        <v>6</v>
      </c>
    </row>
    <row r="416" spans="1:13" hidden="1" x14ac:dyDescent="0.25">
      <c r="A416" t="s">
        <v>521</v>
      </c>
      <c r="B416" s="16">
        <v>53653</v>
      </c>
      <c r="C416" s="4" t="str">
        <f>_xlfn.XLOOKUP(B416,[1]ReportePolizaPorFiltroArribas!$G$1:$G$3955,[1]ReportePolizaPorFiltroArribas!$O$1:$O$3955,"No Encontrado",0)</f>
        <v>2025-12</v>
      </c>
      <c r="D416" s="4" t="str">
        <f>_xlfn.XLOOKUP(B416,[2]Tablero!$AP$1:$AP$6608,[2]Tablero!$AE$1:$AE$6608,"No Encontrado",0)</f>
        <v>03 - PENDIENTE</v>
      </c>
      <c r="G416" s="6" t="s">
        <v>9</v>
      </c>
      <c r="H416" t="s">
        <v>531</v>
      </c>
      <c r="M416" s="4">
        <f t="shared" si="6"/>
        <v>2</v>
      </c>
    </row>
    <row r="417" spans="1:13" hidden="1" x14ac:dyDescent="0.25">
      <c r="A417" t="s">
        <v>448</v>
      </c>
      <c r="B417" s="6" t="s">
        <v>450</v>
      </c>
      <c r="C417" s="4" t="str">
        <f>_xlfn.XLOOKUP(B417,[1]ReportePolizaPorFiltroArribas!$G$1:$G$3955,[1]ReportePolizaPorFiltroArribas!$O$1:$O$3955,"No Encontrado",0)</f>
        <v>2025-11</v>
      </c>
      <c r="D417" s="4" t="str">
        <f>_xlfn.XLOOKUP(B417,[2]Tablero!$AP$1:$AP$6608,[2]Tablero!$AE$1:$AE$6608,"No Encontrado",0)</f>
        <v>03 - PENDIENTE</v>
      </c>
      <c r="F417" s="4" t="str">
        <f>IF(E417&lt;&gt;"",_xlfn.XLOOKUP(G417,pivot!$B$1:$B$34,pivot!$A$1:$A$34,"",0),"")</f>
        <v/>
      </c>
      <c r="G417" t="s">
        <v>6</v>
      </c>
      <c r="H417" t="s">
        <v>349</v>
      </c>
      <c r="M417" s="4">
        <f t="shared" si="6"/>
        <v>6</v>
      </c>
    </row>
    <row r="418" spans="1:13" hidden="1" x14ac:dyDescent="0.25">
      <c r="A418" t="s">
        <v>472</v>
      </c>
      <c r="B418" s="6" t="s">
        <v>474</v>
      </c>
      <c r="C418" s="4" t="str">
        <f>_xlfn.XLOOKUP(B418,[1]ReportePolizaPorFiltroArribas!$G$1:$G$3955,[1]ReportePolizaPorFiltroArribas!$O$1:$O$3955,"No Encontrado",0)</f>
        <v>2025-11</v>
      </c>
      <c r="D418" s="4" t="str">
        <f>_xlfn.XLOOKUP(B418,[2]Tablero!$AP$1:$AP$6608,[2]Tablero!$AE$1:$AE$6608,"No Encontrado",0)</f>
        <v>No Encontrado</v>
      </c>
      <c r="F418" s="4" t="str">
        <f>IF(E418&lt;&gt;"",_xlfn.XLOOKUP(G418,pivot!$B$1:$B$34,pivot!$A$1:$A$34,"",0),"")</f>
        <v/>
      </c>
      <c r="G418" t="s">
        <v>6</v>
      </c>
      <c r="H418" t="s">
        <v>349</v>
      </c>
      <c r="M418" s="4">
        <f t="shared" si="6"/>
        <v>6</v>
      </c>
    </row>
  </sheetData>
  <autoFilter ref="A2:N418" xr:uid="{6A322BA0-8D62-4954-97D4-2ADE08006B5B}">
    <filterColumn colId="5">
      <filters>
        <filter val="Jesus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1AC3-5359-4FE7-A3F5-435C6B4B83DB}">
  <dimension ref="A1:I34"/>
  <sheetViews>
    <sheetView tabSelected="1" topLeftCell="A7" zoomScale="70" zoomScaleNormal="70" workbookViewId="0">
      <selection activeCell="I17" sqref="I17"/>
    </sheetView>
  </sheetViews>
  <sheetFormatPr baseColWidth="10" defaultColWidth="10.75" defaultRowHeight="15.75" x14ac:dyDescent="0.25"/>
  <cols>
    <col min="1" max="1" width="11.375" bestFit="1" customWidth="1"/>
    <col min="2" max="2" width="34.375" bestFit="1" customWidth="1"/>
    <col min="6" max="6" width="32.5" bestFit="1" customWidth="1"/>
    <col min="7" max="7" width="4.5" bestFit="1" customWidth="1"/>
    <col min="8" max="8" width="2.875" bestFit="1" customWidth="1"/>
    <col min="9" max="9" width="5.625" bestFit="1" customWidth="1"/>
  </cols>
  <sheetData>
    <row r="1" spans="1:9" x14ac:dyDescent="0.25">
      <c r="A1" s="1" t="s">
        <v>28</v>
      </c>
      <c r="B1" s="1" t="s">
        <v>2</v>
      </c>
    </row>
    <row r="2" spans="1:9" x14ac:dyDescent="0.25">
      <c r="A2" s="5" t="s">
        <v>33</v>
      </c>
      <c r="B2" t="s">
        <v>5</v>
      </c>
      <c r="F2" s="9" t="s">
        <v>39</v>
      </c>
    </row>
    <row r="3" spans="1:9" x14ac:dyDescent="0.25">
      <c r="A3" s="5" t="s">
        <v>33</v>
      </c>
      <c r="B3" t="s">
        <v>10</v>
      </c>
      <c r="F3" s="9" t="s">
        <v>34</v>
      </c>
      <c r="G3" t="s">
        <v>25</v>
      </c>
      <c r="H3" t="s">
        <v>43</v>
      </c>
      <c r="I3" t="s">
        <v>44</v>
      </c>
    </row>
    <row r="4" spans="1:9" x14ac:dyDescent="0.25">
      <c r="A4" s="5" t="s">
        <v>33</v>
      </c>
      <c r="B4" t="s">
        <v>54</v>
      </c>
      <c r="F4" s="9" t="s">
        <v>32</v>
      </c>
      <c r="G4" t="s">
        <v>25</v>
      </c>
      <c r="H4" t="s">
        <v>45</v>
      </c>
      <c r="I4" t="s">
        <v>44</v>
      </c>
    </row>
    <row r="5" spans="1:9" x14ac:dyDescent="0.25">
      <c r="A5" t="s">
        <v>29</v>
      </c>
      <c r="B5" t="s">
        <v>8</v>
      </c>
    </row>
    <row r="6" spans="1:9" x14ac:dyDescent="0.25">
      <c r="A6" t="s">
        <v>29</v>
      </c>
      <c r="B6" t="s">
        <v>42</v>
      </c>
    </row>
    <row r="7" spans="1:9" x14ac:dyDescent="0.25">
      <c r="A7" t="s">
        <v>29</v>
      </c>
      <c r="B7" t="s">
        <v>40</v>
      </c>
    </row>
    <row r="8" spans="1:9" x14ac:dyDescent="0.25">
      <c r="A8" s="5" t="s">
        <v>33</v>
      </c>
      <c r="B8" t="s">
        <v>6</v>
      </c>
    </row>
    <row r="9" spans="1:9" x14ac:dyDescent="0.25">
      <c r="A9" s="5" t="s">
        <v>33</v>
      </c>
      <c r="B9" t="s">
        <v>55</v>
      </c>
    </row>
    <row r="10" spans="1:9" x14ac:dyDescent="0.25">
      <c r="A10" s="5" t="s">
        <v>33</v>
      </c>
      <c r="B10" t="s">
        <v>11</v>
      </c>
    </row>
    <row r="11" spans="1:9" x14ac:dyDescent="0.25">
      <c r="A11" s="5" t="s">
        <v>33</v>
      </c>
      <c r="B11" t="s">
        <v>13</v>
      </c>
    </row>
    <row r="12" spans="1:9" x14ac:dyDescent="0.25">
      <c r="A12" s="5" t="s">
        <v>33</v>
      </c>
      <c r="B12" t="s">
        <v>37</v>
      </c>
    </row>
    <row r="13" spans="1:9" x14ac:dyDescent="0.25">
      <c r="A13" s="5" t="s">
        <v>33</v>
      </c>
      <c r="B13" t="s">
        <v>50</v>
      </c>
    </row>
    <row r="14" spans="1:9" s="6" customFormat="1" x14ac:dyDescent="0.25">
      <c r="A14" s="5" t="s">
        <v>29</v>
      </c>
      <c r="B14" t="s">
        <v>20</v>
      </c>
    </row>
    <row r="15" spans="1:9" x14ac:dyDescent="0.25">
      <c r="A15" s="6" t="s">
        <v>29</v>
      </c>
      <c r="B15" s="6" t="s">
        <v>38</v>
      </c>
    </row>
    <row r="16" spans="1:9" x14ac:dyDescent="0.25">
      <c r="A16" t="s">
        <v>29</v>
      </c>
      <c r="B16" t="s">
        <v>9</v>
      </c>
    </row>
    <row r="17" spans="1:2" x14ac:dyDescent="0.25">
      <c r="A17" t="s">
        <v>29</v>
      </c>
      <c r="B17" t="s">
        <v>16</v>
      </c>
    </row>
    <row r="18" spans="1:2" x14ac:dyDescent="0.25">
      <c r="A18" t="s">
        <v>29</v>
      </c>
      <c r="B18" t="s">
        <v>4</v>
      </c>
    </row>
    <row r="19" spans="1:2" x14ac:dyDescent="0.25">
      <c r="A19" t="s">
        <v>29</v>
      </c>
      <c r="B19" t="s">
        <v>19</v>
      </c>
    </row>
    <row r="20" spans="1:2" x14ac:dyDescent="0.25">
      <c r="A20" t="s">
        <v>29</v>
      </c>
      <c r="B20" t="s">
        <v>21</v>
      </c>
    </row>
    <row r="21" spans="1:2" x14ac:dyDescent="0.25">
      <c r="A21" t="s">
        <v>30</v>
      </c>
      <c r="B21" t="s">
        <v>7</v>
      </c>
    </row>
    <row r="22" spans="1:2" x14ac:dyDescent="0.25">
      <c r="A22" t="s">
        <v>30</v>
      </c>
      <c r="B22" t="s">
        <v>15</v>
      </c>
    </row>
    <row r="23" spans="1:2" x14ac:dyDescent="0.25">
      <c r="A23" t="s">
        <v>30</v>
      </c>
      <c r="B23" t="s">
        <v>51</v>
      </c>
    </row>
    <row r="24" spans="1:2" x14ac:dyDescent="0.25">
      <c r="A24" t="s">
        <v>31</v>
      </c>
      <c r="B24" t="s">
        <v>22</v>
      </c>
    </row>
    <row r="25" spans="1:2" x14ac:dyDescent="0.25">
      <c r="A25" t="s">
        <v>31</v>
      </c>
      <c r="B25" t="s">
        <v>505</v>
      </c>
    </row>
    <row r="26" spans="1:2" x14ac:dyDescent="0.25">
      <c r="A26" t="s">
        <v>31</v>
      </c>
      <c r="B26" t="s">
        <v>12</v>
      </c>
    </row>
    <row r="27" spans="1:2" x14ac:dyDescent="0.25">
      <c r="A27" t="s">
        <v>29</v>
      </c>
      <c r="B27" t="s">
        <v>14</v>
      </c>
    </row>
    <row r="28" spans="1:2" x14ac:dyDescent="0.25">
      <c r="A28" t="s">
        <v>31</v>
      </c>
      <c r="B28" t="s">
        <v>23</v>
      </c>
    </row>
    <row r="29" spans="1:2" x14ac:dyDescent="0.25">
      <c r="A29" t="s">
        <v>31</v>
      </c>
      <c r="B29" s="6" t="s">
        <v>41</v>
      </c>
    </row>
    <row r="30" spans="1:2" x14ac:dyDescent="0.25">
      <c r="A30" t="s">
        <v>29</v>
      </c>
      <c r="B30" t="s">
        <v>9</v>
      </c>
    </row>
    <row r="31" spans="1:2" x14ac:dyDescent="0.25">
      <c r="A31" t="s">
        <v>29</v>
      </c>
      <c r="B31" t="s">
        <v>17</v>
      </c>
    </row>
    <row r="32" spans="1:2" x14ac:dyDescent="0.25">
      <c r="A32" t="s">
        <v>29</v>
      </c>
      <c r="B32" t="s">
        <v>49</v>
      </c>
    </row>
    <row r="33" spans="1:2" x14ac:dyDescent="0.25">
      <c r="A33" t="s">
        <v>31</v>
      </c>
      <c r="B33" t="s">
        <v>18</v>
      </c>
    </row>
    <row r="34" spans="1:2" x14ac:dyDescent="0.25">
      <c r="A34" t="s">
        <v>31</v>
      </c>
      <c r="B34" t="s">
        <v>24</v>
      </c>
    </row>
  </sheetData>
  <autoFilter ref="A1:B34" xr:uid="{B3371AC3-5359-4FE7-A3F5-435C6B4B83D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Td_Diferencias</vt:lpstr>
      <vt:lpstr>Reporte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facturacion</dc:creator>
  <cp:lastModifiedBy>Renzo Araujo</cp:lastModifiedBy>
  <dcterms:created xsi:type="dcterms:W3CDTF">2024-12-18T14:14:20Z</dcterms:created>
  <dcterms:modified xsi:type="dcterms:W3CDTF">2025-11-28T22:48:31Z</dcterms:modified>
</cp:coreProperties>
</file>